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gileadconnect.sharepoint.com/teams/AIAssistedStreamlineStudyAnalysis/Shared Documents/General/03 SDTM docs/"/>
    </mc:Choice>
  </mc:AlternateContent>
  <xr:revisionPtr revIDLastSave="1054" documentId="13_ncr:1_{7DB7AFA4-579A-4C03-9291-2065983895C9}" xr6:coauthVersionLast="47" xr6:coauthVersionMax="47" xr10:uidLastSave="{46FCACA4-8E3D-47A5-B6A6-9ED38BCA22D0}"/>
  <bookViews>
    <workbookView xWindow="-120" yWindow="-120" windowWidth="29040" windowHeight="15720" firstSheet="2" activeTab="2" xr2:uid="{00000000-000D-0000-FFFF-FFFF00000000}"/>
  </bookViews>
  <sheets>
    <sheet name="Instructions" sheetId="1" r:id="rId1"/>
    <sheet name="Summary" sheetId="2" r:id="rId2"/>
    <sheet name="Requirements" sheetId="4" r:id="rId3"/>
    <sheet name="Feedback" sheetId="5" r:id="rId4"/>
    <sheet name="Suggestions" sheetId="6" r:id="rId5"/>
    <sheet name="UI Inventory" sheetId="7" r:id="rId6"/>
    <sheet name="Lists" sheetId="3" r:id="rId7"/>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5" i="6" l="1"/>
  <c r="A155" i="4"/>
  <c r="A156" i="4"/>
  <c r="A38" i="5"/>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8" i="6"/>
  <c r="J27" i="6"/>
  <c r="J26" i="6"/>
  <c r="J25" i="6"/>
  <c r="J24" i="6"/>
  <c r="J23" i="6"/>
  <c r="J22" i="6"/>
  <c r="J21" i="6"/>
  <c r="J20" i="6"/>
  <c r="J19" i="6"/>
  <c r="J18" i="6"/>
  <c r="J17" i="6"/>
  <c r="J16" i="6"/>
  <c r="J15" i="6"/>
  <c r="J13" i="6"/>
  <c r="J12" i="6"/>
  <c r="J11" i="6"/>
  <c r="J10" i="6"/>
  <c r="J9" i="6"/>
  <c r="J8" i="6"/>
  <c r="J7" i="6"/>
  <c r="E25" i="2"/>
  <c r="E24" i="2"/>
  <c r="E23" i="2"/>
  <c r="E22" i="2"/>
  <c r="B22" i="2"/>
  <c r="E21" i="2"/>
  <c r="B21" i="2"/>
  <c r="E20" i="2"/>
  <c r="B20" i="2"/>
  <c r="E19" i="2"/>
  <c r="B19" i="2"/>
  <c r="H18" i="2"/>
  <c r="H17" i="2"/>
  <c r="H16" i="2"/>
  <c r="H15" i="2"/>
  <c r="H14" i="2"/>
  <c r="B14" i="2"/>
  <c r="H13" i="2"/>
  <c r="B13" i="2"/>
  <c r="H12" i="2"/>
  <c r="B12" i="2"/>
  <c r="H11" i="2"/>
  <c r="E11" i="2"/>
  <c r="B11" i="2"/>
  <c r="H10" i="2"/>
  <c r="E10" i="2"/>
  <c r="B10" i="2"/>
  <c r="H9" i="2"/>
  <c r="E9" i="2"/>
  <c r="B9" i="2"/>
  <c r="H8" i="2"/>
  <c r="E8" i="2"/>
  <c r="B8" i="2"/>
  <c r="G4" i="2"/>
  <c r="E4" i="2"/>
  <c r="C4" i="2"/>
  <c r="A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A5" authorId="0" shapeId="0" xr:uid="{00000000-0006-0000-0300-000001000000}">
      <text>
        <r>
          <rPr>
            <sz val="11"/>
            <color theme="1"/>
            <rFont val="Calibri"/>
            <family val="2"/>
            <scheme val="minor"/>
          </rPr>
          <t>Replace sample rows with your project-specific requirements.</t>
        </r>
      </text>
    </comment>
  </commentList>
</comments>
</file>

<file path=xl/sharedStrings.xml><?xml version="1.0" encoding="utf-8"?>
<sst xmlns="http://schemas.openxmlformats.org/spreadsheetml/2006/main" count="1047" uniqueCount="374">
  <si>
    <t>UI Requirements, Feedback and Suggestions Template</t>
  </si>
  <si>
    <t>Use this workbook to capture, prioritize and track user interface inputs for an application.</t>
  </si>
  <si>
    <t>How to use this template</t>
  </si>
  <si>
    <t>1</t>
  </si>
  <si>
    <t>Capture requirements</t>
  </si>
  <si>
    <t>Use the Requirements sheet to document user needs, acceptance criteria, ownership and decision status.</t>
  </si>
  <si>
    <t>2</t>
  </si>
  <si>
    <t>Log feedback</t>
  </si>
  <si>
    <t>Use the Feedback sheet to record comments, usability findings, defects, concerns and observations from users or stakeholders.</t>
  </si>
  <si>
    <t>3</t>
  </si>
  <si>
    <t>Track suggestions</t>
  </si>
  <si>
    <t>Use the Suggestions sheet to record improvement ideas and prioritize them using impact and effort.</t>
  </si>
  <si>
    <t>4</t>
  </si>
  <si>
    <t>Map UI scope</t>
  </si>
  <si>
    <t>Use the UI Inventory sheet to list screens, pages and modules so requirements can be tied back to UI areas.</t>
  </si>
  <si>
    <t>5</t>
  </si>
  <si>
    <t>Review summary</t>
  </si>
  <si>
    <t>Use the Summary sheet to view counts by status, priority, severity and UI area.</t>
  </si>
  <si>
    <t>Conventions</t>
  </si>
  <si>
    <t>•</t>
  </si>
  <si>
    <t>Blue text fields are intended for user input.</t>
  </si>
  <si>
    <t>Black formula fields are calculated automatically.</t>
  </si>
  <si>
    <t>Dropdown values can be edited on the hidden Lists sheet if your project needs different categories.</t>
  </si>
  <si>
    <t>Use IDs such as REQ-001, FB-001 and SUG-001 to link related items across sheets.</t>
  </si>
  <si>
    <t>Summary Dashboard</t>
  </si>
  <si>
    <t>Automated counts based on entries in the Requirements, Feedback and Suggestions sheets.</t>
  </si>
  <si>
    <t>Total Requirements</t>
  </si>
  <si>
    <t>Open Feedback</t>
  </si>
  <si>
    <t>Approved Requirements</t>
  </si>
  <si>
    <t>Completed Items</t>
  </si>
  <si>
    <t>Requirements by Status</t>
  </si>
  <si>
    <t>Requirements by Priority</t>
  </si>
  <si>
    <t>UI Area Activity</t>
  </si>
  <si>
    <t>Status</t>
  </si>
  <si>
    <t>Count</t>
  </si>
  <si>
    <t>Priority</t>
  </si>
  <si>
    <t>UI Area</t>
  </si>
  <si>
    <t>New</t>
  </si>
  <si>
    <t>Critical</t>
  </si>
  <si>
    <t>Navigation</t>
  </si>
  <si>
    <t>Under Review</t>
  </si>
  <si>
    <t>High</t>
  </si>
  <si>
    <t>Dashboard</t>
  </si>
  <si>
    <t>Approved</t>
  </si>
  <si>
    <t>Medium</t>
  </si>
  <si>
    <t>Forms/Input</t>
  </si>
  <si>
    <t>In Progress</t>
  </si>
  <si>
    <t>Low</t>
  </si>
  <si>
    <t>Search/Filter</t>
  </si>
  <si>
    <t>Deferred</t>
  </si>
  <si>
    <t>Workflow</t>
  </si>
  <si>
    <t>Rejected</t>
  </si>
  <si>
    <t>Reports/Exports</t>
  </si>
  <si>
    <t>Completed</t>
  </si>
  <si>
    <t>Notifications</t>
  </si>
  <si>
    <t>User Profile</t>
  </si>
  <si>
    <t>Admin</t>
  </si>
  <si>
    <t>Feedback by Severity</t>
  </si>
  <si>
    <t>Suggestions by Status</t>
  </si>
  <si>
    <t>Mobile/Responsive</t>
  </si>
  <si>
    <t>Severity</t>
  </si>
  <si>
    <t>Other</t>
  </si>
  <si>
    <t>Requirements Log</t>
  </si>
  <si>
    <t>Capture UI requirements, user stories, acceptance criteria, ownership and status.</t>
  </si>
  <si>
    <t>Requirement ID</t>
  </si>
  <si>
    <t>Date Captured</t>
  </si>
  <si>
    <t>Requested By</t>
  </si>
  <si>
    <t>User Role</t>
  </si>
  <si>
    <t>Requirement</t>
  </si>
  <si>
    <t>Business Rationale</t>
  </si>
  <si>
    <t>Requirement Type</t>
  </si>
  <si>
    <t>Acceptance Criteria</t>
  </si>
  <si>
    <t>Dependencies</t>
  </si>
  <si>
    <t>Owner</t>
  </si>
  <si>
    <t>Target Release</t>
  </si>
  <si>
    <t>Due Date</t>
  </si>
  <si>
    <t>Decision / Resolution</t>
  </si>
  <si>
    <t>Notes</t>
  </si>
  <si>
    <t>Krishna</t>
  </si>
  <si>
    <t>Change the button name "Browse S3" in the metadata mapping form</t>
  </si>
  <si>
    <t>Usability</t>
  </si>
  <si>
    <t>The Protocol and Trial design form hada protocol uplaoded for study 671-6974 and the trial domains were populated. It allowed me to add another protocol amendment. when i click the "Extract TDM" the trial domains are not refreshed with the amendment</t>
  </si>
  <si>
    <t>Data/Reporting</t>
  </si>
  <si>
    <t>Gopal</t>
  </si>
  <si>
    <t>Buttons</t>
  </si>
  <si>
    <t>add domains class under TOC botton in mapping spec</t>
  </si>
  <si>
    <t>Karthik</t>
  </si>
  <si>
    <t>Protocol/TDM - We need to add TD, TM domains</t>
  </si>
  <si>
    <t>Team will add them</t>
  </si>
  <si>
    <t>Metadata mapping: When an ALS document is uploaded, the system reads the file. Could we add a display section, similar to the Uploaded Files list, that shows the name of the source raw metadata file? This would help trace which metadata file was used during CRF migrations and amendments.</t>
  </si>
  <si>
    <t>ALS name to appear</t>
  </si>
  <si>
    <t>When we upload multiple protocols, can we have an option to select which protocol has to be used for extracting TD's</t>
  </si>
  <si>
    <t>Team will restrict to add only one version of protocol</t>
  </si>
  <si>
    <t xml:space="preserve">I have mapped AEYN to SUPPAE and approved it. Can we build a feature to revert the decision ? Can we have an option to review first and then approve instead of build &amp; approve? </t>
  </si>
  <si>
    <t>Will fix it</t>
  </si>
  <si>
    <t>When we export, the file name is "mapping_spec_a9e53f52-fa0a-4b31-a542-643c29a3ae28". Could we have it started with study number , taskname, date, version X.O</t>
  </si>
  <si>
    <t xml:space="preserve">will check </t>
  </si>
  <si>
    <t>For unmapped variables, it says one per line. Could we have the unmapped variables pulled from Metadata mapping tab instead of manual entry. AI mapping is not working - says 0 suggestions.</t>
  </si>
  <si>
    <t>When we create new study - should we say what Gilead mapping spec to use? as we will have two versions of 3.4 next year ?</t>
  </si>
  <si>
    <t>Will add in metadata mapping</t>
  </si>
  <si>
    <t>Can we have option to select datasets from ALS ? For interim analysis, we might not need all datasets to be mapped</t>
  </si>
  <si>
    <t>local version is already updated to fix this.</t>
  </si>
  <si>
    <t>Currently, we are seeing all studies in the dashboard. When we deploy, will the users see all studies or their own studies ? if all studies, can we add a feature to favorite them or like my studies option ?</t>
  </si>
  <si>
    <t>Neel is aware of it and will check</t>
  </si>
  <si>
    <t>Build/Domain build: Can we have a column which states "like mapping from core spec: No change allowed". Otherwise, i need to look into all rows and verify</t>
  </si>
  <si>
    <t>Neel will add confidence column</t>
  </si>
  <si>
    <t>Metadata mapping + AI mapping into Metadata mapping</t>
  </si>
  <si>
    <t>Other function groups requested to have it as separate column</t>
  </si>
  <si>
    <t>Mapping spec: Can we have options whether to present all domains from Core mapping spec or select domains from core mapping spec to include in the final mapping spec? When the rawplus is mapped to new LABCT, we have additional domains that can be only seen from rawplus and metdata file cannot catch it.</t>
  </si>
  <si>
    <t>in mapping spec, TOC column will lists all the domains and user can select</t>
  </si>
  <si>
    <t>Mapping spec: Can we keep a feature to add custom domain based on the class? Just an enhancement.</t>
  </si>
  <si>
    <t>Neel will check and add it</t>
  </si>
  <si>
    <t>Autobuild: When we add a column active Y/N, can we also add an option to select all</t>
  </si>
  <si>
    <t>Domain build: Can we add a column like "No change allowed, mapped from Core spec", so that user will have few variables to pay attention.</t>
  </si>
  <si>
    <t>Mapping spec</t>
  </si>
  <si>
    <t>same as above.</t>
  </si>
  <si>
    <t>Mapping spec: Under TOC - can we have active Y/N, so user can decide what domains has to be generated for that analysis ?</t>
  </si>
  <si>
    <t>Feedback Log</t>
  </si>
  <si>
    <t>Record feedback from user research, usability testing, stakeholder reviews and support channels.</t>
  </si>
  <si>
    <t>Feedback ID</t>
  </si>
  <si>
    <t>Date</t>
  </si>
  <si>
    <t>Source / Session</t>
  </si>
  <si>
    <t>User / Role</t>
  </si>
  <si>
    <t>Screen / Module</t>
  </si>
  <si>
    <t>Feedback Type</t>
  </si>
  <si>
    <t>Feedback Summary</t>
  </si>
  <si>
    <t>Current Experience</t>
  </si>
  <si>
    <t>Expected Experience</t>
  </si>
  <si>
    <t>Evidence / Link</t>
  </si>
  <si>
    <t>Action Needed</t>
  </si>
  <si>
    <t>Related Requirement ID</t>
  </si>
  <si>
    <t>Resolution Notes</t>
  </si>
  <si>
    <t>Internal Review</t>
  </si>
  <si>
    <t>Metadata mapping</t>
  </si>
  <si>
    <t>Question</t>
  </si>
  <si>
    <t>The button browse s3 has folders with names that are not meaningful to select the rawdata or ALS files for the study</t>
  </si>
  <si>
    <t>Node Graph</t>
  </si>
  <si>
    <t>Enhancement</t>
  </si>
  <si>
    <t xml:space="preserve">some of the graph fields aren't showing up properly like literal is linking to studyid and Domain. we need to check all the variables for accuracy. can we put Protocol as origin for STUDYID in all the SDTM domains. Even for sequence, we should something like stuydid. </t>
  </si>
  <si>
    <t>same like above .devired is linked to SUPP variables.</t>
  </si>
  <si>
    <t>can we change the COND to CODE in the graph node for derived variables to avoid confusion.</t>
  </si>
  <si>
    <t>Issue</t>
  </si>
  <si>
    <t>looks like administrative datasets like cov_pk, ba_pk_inv are being mapped we need to drop them.</t>
  </si>
  <si>
    <t>right now sas length has decimal value showing up. can we take out the decimal from SAS length. same for KEY SEQ column</t>
  </si>
  <si>
    <t>Build and output</t>
  </si>
  <si>
    <t>Auto build should be run only after the syntnetic data be enabled in order to generate outputs right now the autobuild is showing a zero domains. check for the dependencies.</t>
  </si>
  <si>
    <t>delivery package</t>
  </si>
  <si>
    <t>right now in the data package mapping spefication is not included can we add it as output along with SAS programs for download</t>
  </si>
  <si>
    <t>implemented SAS CODE</t>
  </si>
  <si>
    <t>implemented SAS code is missing for AEACN</t>
  </si>
  <si>
    <t>variable</t>
  </si>
  <si>
    <t>where this varaible SPDEVID from come in EG domains</t>
  </si>
  <si>
    <t>AI mapping</t>
  </si>
  <si>
    <t>now I dont see any unmapped variablles in AI mapping. will they be coming up once we coonect to AI models?</t>
  </si>
  <si>
    <t>mapping spec</t>
  </si>
  <si>
    <t>TOC</t>
  </si>
  <si>
    <t>some domains are missing labels in the TOC sheet</t>
  </si>
  <si>
    <t>Drug accountability label should be changed to the latest label.</t>
  </si>
  <si>
    <t>Study Details</t>
  </si>
  <si>
    <t>Currently owner info is displayed as Gilead email address and it is truncated (when we create new program), overlapped on created field (when we create standalone)</t>
  </si>
  <si>
    <t>Neel is aware of it</t>
  </si>
  <si>
    <t>Protocol/TDM</t>
  </si>
  <si>
    <t>Browse files option is not working, it takes back to main screen</t>
  </si>
  <si>
    <t>Issue is only from my end.</t>
  </si>
  <si>
    <t>1) Do we need add column to trial designs ? 
2) I have added some rows, YZ column and downloaded to CSV. CSV file has retained the rows but not column (YZ)</t>
  </si>
  <si>
    <t>TA/TE elements are not in sync.</t>
  </si>
  <si>
    <t>Order of variables in details panel is not same as left panel (Trial design variables order)</t>
  </si>
  <si>
    <t>Neel will fix it</t>
  </si>
  <si>
    <t>For TV - TVSTRL, ENRL is missing.
For TS - TSGRPID, TSVAL1, 2, TSVALNF, TSVALCD, TSVCDREF, TSVCDVER are missing.</t>
  </si>
  <si>
    <t>Neel will check and update it</t>
  </si>
  <si>
    <t>SOA - Flow diagram is tiny to read. It is generalized and not read correctly (Has Tumor assessment when protocol doesnt have it)
Have Matrix in 2 places. Flow says - flow diagram is coming soon. Flow diagram option is also present just above the assessment table.</t>
  </si>
  <si>
    <t>Metadata mapping: Could not read XLS metadata file (97-2003 excel). Gave this error - could not read metadata file: Missing optional dependency 'xlrd'. Install xlrd &gt;= 2.0.1 for xls Excel support Use pip or conda to install xlrd.
What is parquet ?</t>
  </si>
  <si>
    <t>will remove parquet and check for XLS format</t>
  </si>
  <si>
    <t>I uploaded ALS in XLSX format and Run mapping gave me "HTTP 500" error.</t>
  </si>
  <si>
    <t>Kai</t>
  </si>
  <si>
    <t>Programs/Protocol</t>
  </si>
  <si>
    <t>Shows the partial value as "GS-US-XXX", please increase the length to display the full value of the protocol #.</t>
  </si>
  <si>
    <t>STATUS: For variables that are mapped, do we need the "Mark not needed" ? If we need this option, can it ask for approval before excluding.</t>
  </si>
  <si>
    <t>Will work around it</t>
  </si>
  <si>
    <t>Element shows the general TRT value but the actual treatment value.</t>
  </si>
  <si>
    <t>The hyperlink from metadata mapping to Mapping spec, doesnt give a edit option. Incase, if we need to update the labels, origin, keyseq. For example: AEACN1, 2 label has to be updated in SUPPAE.</t>
  </si>
  <si>
    <t>Will check and fix it</t>
  </si>
  <si>
    <t>ETCD, ELEMENT values should be identical in TA and TE domains.</t>
  </si>
  <si>
    <t>I added AEYN to SUPPAE. In mapping spec, the origin is displayed as "CRF" instead of "Collected|Investigator" and action as "SUPP" with missing XML Type, Length.</t>
  </si>
  <si>
    <t>AETERM, AESER has missing method/source. While other CRF fields has "Core Spec"</t>
  </si>
  <si>
    <t>Node Graph: Lineage is not mapping correctly for some of the variables. EPOCH is not pointed to AESTDTC.</t>
  </si>
  <si>
    <t>Options like COPY, CONSTANT, SEQ, DERIVED, OTHER - when we click on COPY, it deselect records that are assigned and shows other records. Same for other options. Can we update to reflect the selected option.</t>
  </si>
  <si>
    <t>Key seq, SAS length is representing value in XX.0</t>
  </si>
  <si>
    <t>Annotated CRF</t>
  </si>
  <si>
    <t>We have 2 sections to upload CRF</t>
  </si>
  <si>
    <t>I tried to upload blank CRF, it ended up as "HTTP 500" error and didnt upload the file.</t>
  </si>
  <si>
    <t>Connection issue.</t>
  </si>
  <si>
    <t>Reference</t>
  </si>
  <si>
    <t>Concern</t>
  </si>
  <si>
    <t>Version: it has latest, 3.3. Instead of latest, can we specify what mapping spec is used?</t>
  </si>
  <si>
    <t>Any chances of including provisional spec ?</t>
  </si>
  <si>
    <t>Connecting to spec store is the fix. Neel to add more options/questions before Run mapping.</t>
  </si>
  <si>
    <t>Status: it has PARENT_MAPPED, what does it mean ?</t>
  </si>
  <si>
    <t>Method/Source: It has Rules, what does it mean ? Can we have the meaning of options used in Status, Method/Source</t>
  </si>
  <si>
    <t>Neel will add footnotes</t>
  </si>
  <si>
    <t>Historical seen: the values have "seen 9999x".</t>
  </si>
  <si>
    <t>Neel will check and update it. It gives the confidence that variable is mapped in previous studies.</t>
  </si>
  <si>
    <t>Suggested, Actions columns: Not sorting.</t>
  </si>
  <si>
    <t>Neel will remove the sorting arrows for the last 2 columns.</t>
  </si>
  <si>
    <t>TABRANCH is a required variable, may we auto populate this value?</t>
  </si>
  <si>
    <t>Can we update VISITNUM to be more meaningful other than chronological order?</t>
  </si>
  <si>
    <t>Verify complete spec: it gives count of vars for each domain. What is the source for this count? What is C, B ?</t>
  </si>
  <si>
    <t>Verify complete spec: When we apply or reject the changes, should the Critical, major, Minor still show the same count as previous ?</t>
  </si>
  <si>
    <t>Neel is aware of it and will check and update it</t>
  </si>
  <si>
    <t>Diff vs Ref spec: overall match shows -%. When does it show the percentage value ?</t>
  </si>
  <si>
    <t>Neel is aware of it and will check and update it. It is not wired in yet.</t>
  </si>
  <si>
    <t>Data prep pipeline</t>
  </si>
  <si>
    <t>it doesnt list any domain, how do we determine transpose, reshape ?</t>
  </si>
  <si>
    <t>Section be removed</t>
  </si>
  <si>
    <t>Under stack append rows - it displays the list of ALS i have uploaded.</t>
  </si>
  <si>
    <t>Do we use aggregate, date extreme options in SDTM ?</t>
  </si>
  <si>
    <t>Synthetic data</t>
  </si>
  <si>
    <t>Download parquet option ended in error as "This XML file does not appear to have any style information associated with it. The document tree is shown below."</t>
  </si>
  <si>
    <t>it is just a place holder for now</t>
  </si>
  <si>
    <t>Data visualization</t>
  </si>
  <si>
    <t>Do we need data visualization, as we are not uploading study data ?</t>
  </si>
  <si>
    <t>it is placeholder for now</t>
  </si>
  <si>
    <t>Upload Metadata</t>
  </si>
  <si>
    <t>when uploading ALS, error message "could not read metadata file: Excel file format cannot be determined, you must specify an engine manually"</t>
  </si>
  <si>
    <t>Browse S3</t>
  </si>
  <si>
    <t xml:space="preserve">error meesage "fail to parse" when selecting files to ingest </t>
  </si>
  <si>
    <t>Search box</t>
  </si>
  <si>
    <t>The search function does not work properly.  Tested: search a SDTM variable RFSTDTC.</t>
  </si>
  <si>
    <t>Design and Mapping</t>
  </si>
  <si>
    <t>shared across domain sign could be put as Red, to be consistent with footnote.</t>
  </si>
  <si>
    <t>SoA Matrix Table</t>
  </si>
  <si>
    <t xml:space="preserve">Is the DOMAIN column intended for displaying the relative SDTM domain for the assessment? </t>
  </si>
  <si>
    <t>SoA Flow diagram</t>
  </si>
  <si>
    <t>Under Matrix view, there is a "Flow diagram" button, parallel to Matrix, there is another Flow tab.  Are those duplicate?</t>
  </si>
  <si>
    <t>Stuides Summary</t>
  </si>
  <si>
    <t>Studies summary keep showing 'Loading...'</t>
  </si>
  <si>
    <t>Build&amp;output/ Autobuild</t>
  </si>
  <si>
    <t>It lists all domains, can it display only the mapped domains ?</t>
  </si>
  <si>
    <t>will have mapped domains. Neel will check and update it</t>
  </si>
  <si>
    <t>SV domain is mapped in mapping spec (SV 43%) but not build during auto build</t>
  </si>
  <si>
    <t xml:space="preserve">Neel will check and update it. </t>
  </si>
  <si>
    <t>Build&amp;output/ Domain Build</t>
  </si>
  <si>
    <t>For some variables like STUDYID, DOMAIN - can we fix the preview to show only once, currently it shows thrice ?</t>
  </si>
  <si>
    <t>Capped to 3</t>
  </si>
  <si>
    <t>in Action: When we hover on Uparrow it says Derive Earlier and Down arrow (Derive later). But, those arrows are used to move the rows up and down.</t>
  </si>
  <si>
    <t>Neel will explain in the user guide</t>
  </si>
  <si>
    <t>Preview: For RFSTDTC, i edited the logic to earliest date from ex. Preview says - "✗ No objects to concatenate".</t>
  </si>
  <si>
    <t>ARM: i added custom logic and it says "✗ source dataset 'python' is not available in this build — check that a prep step named 'python' exists and produces data"</t>
  </si>
  <si>
    <t>For Baseline flag - we only have one variable XXTESTCD, can we add options for other grouping variables like CAT, METHOD, SPEC</t>
  </si>
  <si>
    <t>TOOLS/CODE: in SAS, for EGLOXFL, it says "code — implement derivation (see the Python program) ".</t>
  </si>
  <si>
    <t>TOOLS/CODE: AI polish, didnt retain variables after EGTESTCD.</t>
  </si>
  <si>
    <t>Metadata Mapping</t>
  </si>
  <si>
    <t>Run Mapping</t>
  </si>
  <si>
    <t>When click on "Run Mapping" button, it shows HTTP 500 error with 0% mapped.</t>
  </si>
  <si>
    <t>Clinical datasets are generated based on ALS. The purpose of synthetic data is to see how the mappings are working correctly when we build the datasets. SUBJID is only present in SUBID synthetic dataset and not in other datasets. If we want to see the changes, how to cross check the synthetic data vs build SDTM datasets?</t>
  </si>
  <si>
    <t>It will be a combination of rawdata metadata (from stride) + ALS</t>
  </si>
  <si>
    <t>TDM</t>
  </si>
  <si>
    <t>TDM domains are not mapped accurately need to work on improving this</t>
  </si>
  <si>
    <t>If i filter on one domain, it applies to all domains in the mapping spec. Like if i filter for mapping action=ASSIGN from VS domain, it applies to all other domains, same with Method, Conf</t>
  </si>
  <si>
    <t>Build &amp; output/Domain Build</t>
  </si>
  <si>
    <t>For prepare data, + add step - looks like it is adding a section below, but not able to expand the section.</t>
  </si>
  <si>
    <t>Neel will check and update it. Add a button for filter. Take user feedback on this.</t>
  </si>
  <si>
    <t>Tools/Graph: This graph looks like same from mapping spec/nodal graph. Do we need at both places ?</t>
  </si>
  <si>
    <t>Tools/code is same as code generation side bar.</t>
  </si>
  <si>
    <t>Neel will remove it</t>
  </si>
  <si>
    <t>For DM: RFXSTDTC - i changed the source to Derived and selected earliest/latest date. We have option for date, can we add the drop down to select time variable.</t>
  </si>
  <si>
    <t>For DM: RFXSTDTC - the nodal graph says "date_extreme"</t>
  </si>
  <si>
    <t>We have CONF column with 100, 90 % - how is it calculated ?</t>
  </si>
  <si>
    <t>tools/cdisc core: It says this 🛡 CDISC CORE — DM
The official CDISC CORE rules engine is not installed in this environment (needs the isolated Python 3.12 venv + offline rule cache). Use Verify / Compare to spec for conformance checks here.</t>
  </si>
  <si>
    <t>Neel will check about it</t>
  </si>
  <si>
    <t>Tools/compare to spec: Does the build match the spec is the description for this, but the build is looking into the data and spec.</t>
  </si>
  <si>
    <t>Expected to have</t>
  </si>
  <si>
    <t>Tools/History: it stores the previous histories and restores it. But, how do we know the changes from those histories like comparison between them, for us to trace back and decide if we need to restore or not ?</t>
  </si>
  <si>
    <t>For now, the expectations is to have history and in future comparisons of history can be explored.</t>
  </si>
  <si>
    <t>What is the difference between Save and Build&amp;save?</t>
  </si>
  <si>
    <t>I assigned INVNAM as ETHNIC and ran save, build &amp;save. this change didnt reflect in mapping spec tab.</t>
  </si>
  <si>
    <t>Build &amp; save will carry the logic from mapping spec.</t>
  </si>
  <si>
    <t>Besides tools option, i see "25 left to review 1/26", what does this reflect ?</t>
  </si>
  <si>
    <t>The count reflects the tick marks that user needs to review</t>
  </si>
  <si>
    <t>Programs: timestamp says " 11:27:40 PM", i have generated the program at 4:34pm PST.</t>
  </si>
  <si>
    <t>Will check with Kiran</t>
  </si>
  <si>
    <t>What is the difference between code generation vs programs ?</t>
  </si>
  <si>
    <t>Neel will remove one section</t>
  </si>
  <si>
    <t>Verification &amp; Audit</t>
  </si>
  <si>
    <t>Start New Run says - 0 domains</t>
  </si>
  <si>
    <t>Review Dashboard</t>
  </si>
  <si>
    <t>Has all 0 values in all sections</t>
  </si>
  <si>
    <t>only for cSDTM team</t>
  </si>
  <si>
    <t>When i select one by one, the display starts with USUBJID.</t>
  </si>
  <si>
    <t>It is like a freeze column, where we can see the data for each subject</t>
  </si>
  <si>
    <t>Delivery package</t>
  </si>
  <si>
    <t>When i clicked Delivery package - the screen went blank</t>
  </si>
  <si>
    <t>What is the score here ?</t>
  </si>
  <si>
    <t>What is the safe score for us to run Auto-build compare to domain build ?</t>
  </si>
  <si>
    <t>Main screen</t>
  </si>
  <si>
    <t>Do we need to have search for variables in the main screen? Its not working</t>
  </si>
  <si>
    <t>Neel will change description from the main page and keep it in the study page</t>
  </si>
  <si>
    <t>Suggestions Log</t>
  </si>
  <si>
    <t>Capture improvement ideas and prioritize them using impact and effort.</t>
  </si>
  <si>
    <t>Suggestion ID</t>
  </si>
  <si>
    <t>Suggested By</t>
  </si>
  <si>
    <t>User Role / Persona</t>
  </si>
  <si>
    <t>Suggestion</t>
  </si>
  <si>
    <t>Expected Benefit</t>
  </si>
  <si>
    <t>Impact</t>
  </si>
  <si>
    <t>Effort</t>
  </si>
  <si>
    <t>Priority Score</t>
  </si>
  <si>
    <t>Can we change the view of the domains to be consistent with our SDTM mapping spec. right now when I click on domain its showing ROLE as first column.</t>
  </si>
  <si>
    <t>upload the core Virology mapping specifications</t>
  </si>
  <si>
    <t>Diff vs Reference Spec</t>
  </si>
  <si>
    <t>DIFf vs reference spec in design mapping tab only showing the wording (Compare your mapped spec against the CDISC standard reference). can we also add GCDS standards here</t>
  </si>
  <si>
    <t>AUTO BUILD</t>
  </si>
  <si>
    <t>Build every SDTM domain from the mapping spec + raw source data. Can we change this to raw meta data instead?</t>
  </si>
  <si>
    <t>Mapping Spec</t>
  </si>
  <si>
    <t>its better to keep the implemented SAS code blank for the variables when they are dropped.</t>
  </si>
  <si>
    <t>mapping spec/TOC</t>
  </si>
  <si>
    <t>should we display all the SDTM domains to be consistent with our standard mapping spec instead of what just mapped for our study?</t>
  </si>
  <si>
    <t>can we change the display of variable columns in the trial domains to be consistent with our mapping specification</t>
  </si>
  <si>
    <t>Protocol/TDM:schedule of activities</t>
  </si>
  <si>
    <t>flow chart for schedule of activities is hard to see, can we check if can add an option to zoom in?</t>
  </si>
  <si>
    <t>assesment to domains are not mapped propely to the domains</t>
  </si>
  <si>
    <t>When we create a new study, can we have a small description on when to create New program and Standalone</t>
  </si>
  <si>
    <t>Currently add row - adds rows to the bottom, is there any flexibility to add in between too? if we need to add any element it will be useful.</t>
  </si>
  <si>
    <t>Extract option has TDM, SAP, TOC. Do we need SAP, TOC here ?</t>
  </si>
  <si>
    <t>When edit mode is off- could the cell be locked? Currently, changes are disabled, but clicking on the cell still highlights it as though edit mode is active.</t>
  </si>
  <si>
    <t>In column reference - could we also show the other attributes like Type, Codelist, CDISC core (Req, Exp, Perm)</t>
  </si>
  <si>
    <t>Can we have the columns aligned with the order of columns from mapping spec. Currently, label is the 3rd column and Variable is the 12th.</t>
  </si>
  <si>
    <t>For mapping rule, we have wrap/unwrap option at the end of column. It works but the width of the column doesnt change.</t>
  </si>
  <si>
    <t>The double headed arrow appears (when we hover to the header) but it is not resizing the column</t>
  </si>
  <si>
    <t>Is it possible to freeze a column like variable column, so we can see the corresponding columns? or add hide columns option ?</t>
  </si>
  <si>
    <t>UNMAPPED option: AETERM is mapped in metadata mapping but in mapping spec it shows under unmapped. Can we keep MEDDRA terms as mapped too ?</t>
  </si>
  <si>
    <t>For unmapped variables, actions show as "route". Can we have any alternate word for it ?</t>
  </si>
  <si>
    <t>TOC: Has columns for Mapped, Total. Can we add Unmapped columns count ?</t>
  </si>
  <si>
    <t>AE tab: For the filter fields, can we add "Missing" as an option. So, it is easy to filter for review and make changes.</t>
  </si>
  <si>
    <t>History: Mapping version history window opens at the bottom of dataset section. Could it have a pop up option ?</t>
  </si>
  <si>
    <t>History: Is it possible to maintain the history by domain? Currently, all the hsitory is logged by version numbers, how do we trace the changes made for each domain ?</t>
  </si>
  <si>
    <r>
      <rPr>
        <sz val="11"/>
        <color rgb="FF000000"/>
        <rFont val="Calibri"/>
        <scheme val="minor"/>
      </rPr>
      <t xml:space="preserve">For each auto-build domain, the conformance section currently displays values such as:
DOMAIN value → DOMAIN = 'DM'
STUDYID present &amp; non-null → </t>
    </r>
    <r>
      <rPr>
        <sz val="11"/>
        <color rgb="FFFF0000"/>
        <rFont val="Calibri"/>
        <scheme val="minor"/>
      </rPr>
      <t xml:space="preserve">STUDYID populated
</t>
    </r>
    <r>
      <rPr>
        <sz val="11"/>
        <color rgb="FF000000"/>
        <rFont val="Calibri"/>
        <scheme val="minor"/>
      </rPr>
      <t xml:space="preserve">USUBJID present &amp; non-null → </t>
    </r>
    <r>
      <rPr>
        <sz val="11"/>
        <color rgb="FFFF0000"/>
        <rFont val="Calibri"/>
        <scheme val="minor"/>
      </rPr>
      <t xml:space="preserve">USUBJID populated
</t>
    </r>
    <r>
      <rPr>
        <sz val="11"/>
        <color rgb="FF000000"/>
        <rFont val="Calibri"/>
        <scheme val="minor"/>
      </rPr>
      <t>Columns populated → XX% of columns have data
Could we remove the text highlighted in red? In the current auto-build dataset, USUBJID is not included, so it appears with a red cross. Displaying the red text is misleading and may cause confusion.</t>
    </r>
  </si>
  <si>
    <t>Neel will check about it. It is placeholder for now, can be removed later</t>
  </si>
  <si>
    <t>Can we add filters for the column headers of the dataset, so we can filter for DROP and focus on others ?</t>
  </si>
  <si>
    <t>The column width of label is more, can we adjust the column widths ?</t>
  </si>
  <si>
    <t>I tried to edit the value of STUDYID, it worked for that domain and once i scroll to another domain, the value resets to its original. Do we need to have EDIT option for these variables like STUDYID, DOMAIN?</t>
  </si>
  <si>
    <t>When we add another metadata file at a later stage, is it possible to integrate the previous locked mapping file and this new mapping file into the final mapping spec ?</t>
  </si>
  <si>
    <t>UI Inventory</t>
  </si>
  <si>
    <t>Map application screens, pages and modules to requirements and open questions.</t>
  </si>
  <si>
    <t>Screen ID</t>
  </si>
  <si>
    <t>Application Area</t>
  </si>
  <si>
    <t>Screen / Page</t>
  </si>
  <si>
    <t>Primary User Roles</t>
  </si>
  <si>
    <t>Key Tasks</t>
  </si>
  <si>
    <t>Existing Pain Points</t>
  </si>
  <si>
    <t>Open Questions</t>
  </si>
  <si>
    <t>Related Requirement IDs</t>
  </si>
  <si>
    <t>Related Feedback IDs</t>
  </si>
  <si>
    <t>UI-001</t>
  </si>
  <si>
    <t>UI-002</t>
  </si>
  <si>
    <t>Decision</t>
  </si>
  <si>
    <t>Source</t>
  </si>
  <si>
    <t>Functional</t>
  </si>
  <si>
    <t>Accept</t>
  </si>
  <si>
    <t>User Interview</t>
  </si>
  <si>
    <t>Revise</t>
  </si>
  <si>
    <t>Usability Test</t>
  </si>
  <si>
    <t>Accessibility</t>
  </si>
  <si>
    <t>Defer</t>
  </si>
  <si>
    <t>Survey</t>
  </si>
  <si>
    <t>Performance</t>
  </si>
  <si>
    <t>Reject</t>
  </si>
  <si>
    <t>Support Ticket</t>
  </si>
  <si>
    <t>Security</t>
  </si>
  <si>
    <t>Positive</t>
  </si>
  <si>
    <t>Needs More Info</t>
  </si>
  <si>
    <t>Stakeholder Review</t>
  </si>
  <si>
    <t>Defect</t>
  </si>
  <si>
    <t>Content/Copy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</si>
</sst>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rgb="FFFFFFFF"/>
      <name val="Calibri"/>
    </font>
    <font>
      <sz val="11"/>
      <color rgb="FF666666"/>
      <name val="Calibri"/>
    </font>
    <font>
      <b/>
      <sz val="16"/>
      <color rgb="FF1F4E78"/>
      <name val="Calibri"/>
    </font>
    <font>
      <sz val="11"/>
      <color rgb="FF444444"/>
      <name val="Calibri"/>
    </font>
    <font>
      <b/>
      <sz val="13"/>
      <color rgb="FF1F4E78"/>
      <name val="Calibri"/>
    </font>
    <font>
      <b/>
      <sz val="11"/>
      <color rgb="FF1F4E78"/>
      <name val="Calibri"/>
    </font>
    <font>
      <sz val="11"/>
      <color rgb="FF0000FF"/>
      <name val="Calibri"/>
    </font>
    <font>
      <sz val="11"/>
      <color rgb="FF000000"/>
      <name val="Calibri"/>
    </font>
    <font>
      <b/>
      <sz val="14"/>
      <color rgb="FF000000"/>
      <name val="Calibri"/>
    </font>
    <font>
      <sz val="10"/>
      <color rgb="FF1A1A1A"/>
      <name val="Cambria"/>
      <scheme val="major"/>
    </font>
    <font>
      <sz val="10"/>
      <color rgb="FF6B7280"/>
      <name val="Proxima Nova"/>
      <charset val="1"/>
    </font>
    <font>
      <sz val="11"/>
      <color rgb="FF0000FF"/>
      <name val="Calibri"/>
      <family val="2"/>
    </font>
    <font>
      <sz val="11"/>
      <color rgb="FFFF0000"/>
      <name val="Calibri"/>
      <scheme val="minor"/>
    </font>
    <font>
      <sz val="11"/>
      <color rgb="FF000000"/>
      <name val="Calibri"/>
      <scheme val="minor"/>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EAF3F8"/>
      </patternFill>
    </fill>
    <fill>
      <patternFill patternType="solid">
        <fgColor rgb="FFF5F5F5"/>
        <bgColor indexed="64"/>
      </patternFill>
    </fill>
  </fills>
  <borders count="11">
    <border>
      <left/>
      <right/>
      <top/>
      <bottom/>
      <diagonal/>
    </border>
    <border>
      <left/>
      <right/>
      <top style="medium">
        <color rgb="FF1F4E78"/>
      </top>
      <bottom style="medium">
        <color rgb="FF1F4E78"/>
      </bottom>
      <diagonal/>
    </border>
    <border>
      <left/>
      <right/>
      <top/>
      <bottom style="thin">
        <color rgb="FFD9E1F2"/>
      </bottom>
      <diagonal/>
    </border>
    <border>
      <left/>
      <right/>
      <top/>
      <bottom style="medium">
        <color rgb="FF1F4E78"/>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4">
    <xf numFmtId="0" fontId="0" fillId="0" borderId="0" xfId="0"/>
    <xf numFmtId="0" fontId="0" fillId="0" borderId="0" xfId="0" applyAlignment="1">
      <alignment vertical="top" wrapText="1"/>
    </xf>
    <xf numFmtId="0" fontId="1" fillId="2" borderId="0" xfId="0" applyFont="1" applyFill="1" applyAlignment="1">
      <alignment vertical="top" wrapText="1"/>
    </xf>
    <xf numFmtId="0" fontId="6" fillId="4" borderId="3" xfId="0" applyFont="1" applyFill="1" applyBorder="1" applyAlignment="1">
      <alignment vertical="top" wrapText="1"/>
    </xf>
    <xf numFmtId="0" fontId="2" fillId="0" borderId="0" xfId="0" applyFont="1" applyAlignment="1">
      <alignment vertical="top" wrapText="1"/>
    </xf>
    <xf numFmtId="0" fontId="1" fillId="2" borderId="1" xfId="0" applyFont="1" applyFill="1" applyBorder="1" applyAlignment="1">
      <alignment vertical="top" wrapText="1"/>
    </xf>
    <xf numFmtId="0" fontId="7" fillId="0" borderId="2" xfId="0" applyFont="1" applyBorder="1" applyAlignment="1">
      <alignment vertical="top" wrapText="1"/>
    </xf>
    <xf numFmtId="14" fontId="7" fillId="0" borderId="2" xfId="0" applyNumberFormat="1" applyFont="1" applyBorder="1" applyAlignment="1">
      <alignment vertical="top" wrapText="1"/>
    </xf>
    <xf numFmtId="0" fontId="8" fillId="0" borderId="2" xfId="0" applyFont="1" applyBorder="1" applyAlignment="1">
      <alignment vertical="top" wrapText="1"/>
    </xf>
    <xf numFmtId="0" fontId="0" fillId="0" borderId="4" xfId="0" applyBorder="1"/>
    <xf numFmtId="0" fontId="5" fillId="0" borderId="4" xfId="0" applyFont="1" applyBorder="1" applyAlignment="1">
      <alignment vertical="top" wrapText="1"/>
    </xf>
    <xf numFmtId="0" fontId="6" fillId="3" borderId="4" xfId="0" applyFont="1" applyFill="1" applyBorder="1" applyAlignment="1">
      <alignment vertical="top" wrapText="1"/>
    </xf>
    <xf numFmtId="0" fontId="6" fillId="0" borderId="4" xfId="0" applyFont="1" applyBorder="1" applyAlignment="1">
      <alignment vertical="top" wrapText="1"/>
    </xf>
    <xf numFmtId="0" fontId="0" fillId="0" borderId="4" xfId="0" applyBorder="1" applyAlignment="1">
      <alignment vertical="top" wrapText="1"/>
    </xf>
    <xf numFmtId="0" fontId="0" fillId="0" borderId="8" xfId="0" applyBorder="1"/>
    <xf numFmtId="0" fontId="0" fillId="0" borderId="9" xfId="0" applyBorder="1"/>
    <xf numFmtId="0" fontId="0" fillId="0" borderId="10" xfId="0" applyBorder="1"/>
    <xf numFmtId="0" fontId="10" fillId="5" borderId="0" xfId="0" applyFont="1" applyFill="1" applyAlignment="1">
      <alignment wrapText="1"/>
    </xf>
    <xf numFmtId="0" fontId="11" fillId="0" borderId="0" xfId="0" applyFont="1"/>
    <xf numFmtId="0" fontId="12" fillId="0" borderId="2" xfId="0" applyFont="1" applyBorder="1" applyAlignment="1">
      <alignment vertical="top" wrapText="1"/>
    </xf>
    <xf numFmtId="0" fontId="7" fillId="0" borderId="0" xfId="0" applyFont="1" applyAlignment="1">
      <alignment vertical="top" wrapText="1"/>
    </xf>
    <xf numFmtId="14" fontId="7" fillId="0" borderId="0" xfId="0" applyNumberFormat="1"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4" fillId="0" borderId="4" xfId="0" applyFont="1" applyBorder="1" applyAlignment="1">
      <alignment vertical="top" wrapText="1"/>
    </xf>
    <xf numFmtId="0" fontId="3" fillId="0" borderId="7" xfId="0" applyFont="1" applyBorder="1" applyAlignment="1">
      <alignment vertical="top" wrapText="1"/>
    </xf>
    <xf numFmtId="0" fontId="1" fillId="2" borderId="0" xfId="0" applyFont="1" applyFill="1" applyAlignment="1">
      <alignment vertical="top" wrapText="1"/>
    </xf>
    <xf numFmtId="0" fontId="6" fillId="3" borderId="0" xfId="0" applyFont="1" applyFill="1" applyAlignment="1">
      <alignment vertical="top" wrapText="1"/>
    </xf>
    <xf numFmtId="0" fontId="9" fillId="0" borderId="0" xfId="0" applyFont="1" applyAlignment="1">
      <alignment vertical="top" wrapText="1"/>
    </xf>
    <xf numFmtId="0" fontId="0" fillId="0" borderId="7" xfId="0" applyBorder="1" applyAlignment="1"/>
    <xf numFmtId="0" fontId="0" fillId="0" borderId="4" xfId="0" applyBorder="1" applyAlignment="1"/>
    <xf numFmtId="0" fontId="0" fillId="0" borderId="0" xfId="0" applyAlignment="1"/>
  </cellXfs>
  <cellStyles count="1">
    <cellStyle name="Normal" xfId="0" builtinId="0"/>
  </cellStyles>
  <dxfs count="21">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4CCCC"/>
        </patternFill>
      </fill>
    </dxf>
    <dxf>
      <fill>
        <patternFill patternType="solid">
          <fgColor rgb="FFF2F2F2"/>
        </patternFill>
      </fill>
    </dxf>
    <dxf>
      <fill>
        <patternFill patternType="solid">
          <fgColor rgb="FFF4CCCC"/>
        </patternFill>
      </fill>
    </dxf>
    <dxf>
      <fill>
        <patternFill patternType="solid">
          <fgColor rgb="FFE2F0D9"/>
        </patternFill>
      </fill>
    </dxf>
    <dxf>
      <fill>
        <patternFill patternType="solid">
          <fgColor rgb="FFF2F2F2"/>
        </patternFill>
      </fill>
    </dxf>
    <dxf>
      <fill>
        <patternFill patternType="solid">
          <fgColor rgb="FFF4CCCC"/>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4CCCC"/>
        </patternFill>
      </fill>
    </dxf>
    <dxf>
      <fill>
        <patternFill patternType="solid">
          <fgColor rgb="FFF2F2F2"/>
        </patternFill>
      </fill>
    </dxf>
    <dxf>
      <fill>
        <patternFill patternType="solid">
          <fgColor rgb="FFF4CCCC"/>
        </patternFill>
      </fill>
    </dxf>
    <dxf>
      <fill>
        <patternFill patternType="solid">
          <fgColor rgb="FFE2F0D9"/>
        </patternFill>
      </fill>
    </dxf>
    <dxf>
      <fill>
        <patternFill patternType="solid">
          <fgColor rgb="FFE2F0D9"/>
        </patternFill>
      </fill>
    </dxf>
    <dxf>
      <fill>
        <patternFill patternType="solid">
          <fgColor rgb="FFFFF2CC"/>
        </patternFill>
      </fill>
    </dxf>
    <dxf>
      <fill>
        <patternFill patternType="solid">
          <fgColor rgb="FFFCE4D6"/>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Requirements by Status</a:t>
            </a:r>
          </a:p>
        </c:rich>
      </c:tx>
      <c:overlay val="1"/>
    </c:title>
    <c:autoTitleDeleted val="0"/>
    <c:plotArea>
      <c:layout/>
      <c:barChart>
        <c:barDir val="col"/>
        <c:grouping val="clustered"/>
        <c:varyColors val="1"/>
        <c:ser>
          <c:idx val="0"/>
          <c:order val="0"/>
          <c:tx>
            <c:strRef>
              <c:f>Summary!$B$7</c:f>
              <c:strCache>
                <c:ptCount val="1"/>
                <c:pt idx="0">
                  <c:v>Count</c:v>
                </c:pt>
              </c:strCache>
            </c:strRef>
          </c:tx>
          <c:spPr>
            <a:ln>
              <a:prstDash val="solid"/>
            </a:ln>
          </c:spPr>
          <c:invertIfNegative val="1"/>
          <c:cat>
            <c:strRef>
              <c:f>Summary!$A$8:$A$14</c:f>
              <c:strCache>
                <c:ptCount val="7"/>
                <c:pt idx="0">
                  <c:v>New</c:v>
                </c:pt>
                <c:pt idx="1">
                  <c:v>Under Review</c:v>
                </c:pt>
                <c:pt idx="2">
                  <c:v>Approved</c:v>
                </c:pt>
                <c:pt idx="3">
                  <c:v>In Progress</c:v>
                </c:pt>
                <c:pt idx="4">
                  <c:v>Deferred</c:v>
                </c:pt>
                <c:pt idx="5">
                  <c:v>Rejected</c:v>
                </c:pt>
                <c:pt idx="6">
                  <c:v>Completed</c:v>
                </c:pt>
              </c:strCache>
            </c:strRef>
          </c:cat>
          <c:val>
            <c:numRef>
              <c:f>Summary!$B$8:$B$14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65D8-4B34-BAF6-4F17DE862DB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Status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UI Area Activity</a:t>
            </a:r>
          </a:p>
        </c:rich>
      </c:tx>
      <c:overlay val="1"/>
    </c:title>
    <c:autoTitleDeleted val="0"/>
    <c:plotArea>
      <c:layout/>
      <c:barChart>
        <c:barDir val="col"/>
        <c:grouping val="clustered"/>
        <c:varyColors val="1"/>
        <c:ser>
          <c:idx val="0"/>
          <c:order val="0"/>
          <c:tx>
            <c:strRef>
              <c:f>Summary!$H$7</c:f>
              <c:strCache>
                <c:ptCount val="1"/>
                <c:pt idx="0">
                  <c:v>Count</c:v>
                </c:pt>
              </c:strCache>
            </c:strRef>
          </c:tx>
          <c:spPr>
            <a:ln>
              <a:prstDash val="solid"/>
            </a:ln>
          </c:spPr>
          <c:invertIfNegative val="1"/>
          <c:cat>
            <c:strRef>
              <c:f>Summary!$G$8:$G$18</c:f>
              <c:strCache>
                <c:ptCount val="11"/>
                <c:pt idx="0">
                  <c:v>Navigation</c:v>
                </c:pt>
                <c:pt idx="1">
                  <c:v>Dashboard</c:v>
                </c:pt>
                <c:pt idx="2">
                  <c:v>Forms/Input</c:v>
                </c:pt>
                <c:pt idx="3">
                  <c:v>Search/Filter</c:v>
                </c:pt>
                <c:pt idx="4">
                  <c:v>Workflow</c:v>
                </c:pt>
                <c:pt idx="5">
                  <c:v>Reports/Exports</c:v>
                </c:pt>
                <c:pt idx="6">
                  <c:v>Notifications</c:v>
                </c:pt>
                <c:pt idx="7">
                  <c:v>User Profile</c:v>
                </c:pt>
                <c:pt idx="8">
                  <c:v>Admin</c:v>
                </c:pt>
                <c:pt idx="9">
                  <c:v>Mobile/Responsive</c:v>
                </c:pt>
                <c:pt idx="10">
                  <c:v>Other</c:v>
                </c:pt>
              </c:strCache>
            </c:strRef>
          </c:cat>
          <c:val>
            <c:numRef>
              <c:f>Summary!$H$8:$H$18</c:f>
              <c:numCache>
                <c:formatCode>General</c:formatCode>
                <c:ptCount val="11"/>
                <c:pt idx="0">
                  <c:v>1</c:v>
                </c:pt>
                <c:pt idx="1">
                  <c:v>14</c:v>
                </c:pt>
                <c:pt idx="2">
                  <c:v>36</c:v>
                </c:pt>
                <c:pt idx="3">
                  <c:v>2</c:v>
                </c:pt>
                <c:pt idx="4">
                  <c:v>3</c:v>
                </c:pt>
                <c:pt idx="5">
                  <c:v>9</c:v>
                </c:pt>
                <c:pt idx="6">
                  <c:v>0</c:v>
                </c:pt>
                <c:pt idx="7">
                  <c:v>0</c:v>
                </c:pt>
                <c:pt idx="8">
                  <c:v>0</c:v>
                </c:pt>
                <c:pt idx="9">
                  <c:v>0</c:v>
                </c:pt>
                <c:pt idx="10">
                  <c:v>9</c:v>
                </c:pt>
              </c:numCache>
            </c:numRef>
          </c:val>
          <c:extLst>
            <c:ext xmlns:c16="http://schemas.microsoft.com/office/drawing/2014/chart" uri="{C3380CC4-5D6E-409C-BE32-E72D297353CC}">
              <c16:uniqueId val="{00000000-FA0A-4FC2-9DEA-9AE85A871E4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UI Area</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26</xdr:row>
      <xdr:rowOff>0</xdr:rowOff>
    </xdr:from>
    <xdr:ext cx="432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26</xdr:row>
      <xdr:rowOff>0</xdr:rowOff>
    </xdr:from>
    <xdr:ext cx="4320000" cy="25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quirements" displayName="tblRequirements" ref="A4:Q156">
  <autoFilter ref="A4:Q156" xr:uid="{00000000-0009-0000-0100-000001000000}"/>
  <tableColumns count="17">
    <tableColumn id="1" xr3:uid="{00000000-0010-0000-0000-000001000000}" name="Requirement ID">
      <calculatedColumnFormula>"REQ-00" &amp; TEXT(ROW() - ROW(tblRequirements[[#Headers],[Requirement ID]]), "0;-0")</calculatedColumnFormula>
    </tableColumn>
    <tableColumn id="2" xr3:uid="{00000000-0010-0000-0000-000002000000}" name="Date Captured"/>
    <tableColumn id="3" xr3:uid="{00000000-0010-0000-0000-000003000000}" name="Requested By"/>
    <tableColumn id="4" xr3:uid="{00000000-0010-0000-0000-000004000000}" name="User Role"/>
    <tableColumn id="5" xr3:uid="{00000000-0010-0000-0000-000005000000}" name="UI Area"/>
    <tableColumn id="6" xr3:uid="{00000000-0010-0000-0000-000006000000}" name="Requirement"/>
    <tableColumn id="7" xr3:uid="{00000000-0010-0000-0000-000007000000}" name="Business Rationale"/>
    <tableColumn id="8" xr3:uid="{00000000-0010-0000-0000-000008000000}" name="Requirement Type"/>
    <tableColumn id="9" xr3:uid="{00000000-0010-0000-0000-000009000000}" name="Priority"/>
    <tableColumn id="10" xr3:uid="{00000000-0010-0000-0000-00000A000000}" name="Status"/>
    <tableColumn id="11" xr3:uid="{00000000-0010-0000-0000-00000B000000}" name="Acceptance Criteria"/>
    <tableColumn id="12" xr3:uid="{00000000-0010-0000-0000-00000C000000}" name="Dependencies"/>
    <tableColumn id="13" xr3:uid="{00000000-0010-0000-0000-00000D000000}" name="Owner"/>
    <tableColumn id="14" xr3:uid="{00000000-0010-0000-0000-00000E000000}" name="Target Release"/>
    <tableColumn id="15" xr3:uid="{00000000-0010-0000-0000-00000F000000}" name="Due Date"/>
    <tableColumn id="16" xr3:uid="{00000000-0010-0000-0000-000010000000}" name="Decision / Resolution"/>
    <tableColumn id="17" xr3:uid="{00000000-0010-0000-0000-000011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Feedback" displayName="tblFeedback" ref="A4:Q154">
  <autoFilter ref="A4:Q154" xr:uid="{00000000-0009-0000-0100-000002000000}">
    <filterColumn colId="3">
      <filters>
        <filter val="Karthik"/>
      </filters>
    </filterColumn>
  </autoFilter>
  <tableColumns count="17">
    <tableColumn id="1" xr3:uid="{00000000-0010-0000-0100-000001000000}" name="Feedback ID">
      <calculatedColumnFormula>"FB-00" &amp; TEXT(ROW() - ROW(tblFeedback[[#Headers],[Feedback ID]]), "0;-0")</calculatedColumnFormula>
    </tableColumn>
    <tableColumn id="2" xr3:uid="{00000000-0010-0000-0100-000002000000}" name="Date"/>
    <tableColumn id="3" xr3:uid="{00000000-0010-0000-0100-000003000000}" name="Source / Session"/>
    <tableColumn id="4" xr3:uid="{00000000-0010-0000-0100-000004000000}" name="User / Role"/>
    <tableColumn id="5" xr3:uid="{00000000-0010-0000-0100-000005000000}" name="UI Area"/>
    <tableColumn id="6" xr3:uid="{00000000-0010-0000-0100-000006000000}" name="Screen / Module"/>
    <tableColumn id="7" xr3:uid="{00000000-0010-0000-0100-000007000000}" name="Feedback Type"/>
    <tableColumn id="8" xr3:uid="{00000000-0010-0000-0100-000008000000}" name="Severity"/>
    <tableColumn id="9" xr3:uid="{00000000-0010-0000-0100-000009000000}" name="Feedback Summary"/>
    <tableColumn id="10" xr3:uid="{00000000-0010-0000-0100-00000A000000}" name="Current Experience"/>
    <tableColumn id="11" xr3:uid="{00000000-0010-0000-0100-00000B000000}" name="Expected Experience"/>
    <tableColumn id="12" xr3:uid="{00000000-0010-0000-0100-00000C000000}" name="Evidence / Link"/>
    <tableColumn id="13" xr3:uid="{00000000-0010-0000-0100-00000D000000}" name="Action Needed"/>
    <tableColumn id="14" xr3:uid="{00000000-0010-0000-0100-00000E000000}" name="Owner"/>
    <tableColumn id="15" xr3:uid="{00000000-0010-0000-0100-00000F000000}" name="Status"/>
    <tableColumn id="16" xr3:uid="{00000000-0010-0000-0100-000010000000}" name="Related Requirement ID"/>
    <tableColumn id="17" xr3:uid="{00000000-0010-0000-0100-000011000000}" name="Resolution Note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uggestions" displayName="tblSuggestions" ref="A4:N155">
  <autoFilter ref="A4:N155" xr:uid="{00000000-0009-0000-0100-000003000000}">
    <filterColumn colId="2">
      <filters>
        <filter val="Karthik"/>
      </filters>
    </filterColumn>
  </autoFilter>
  <tableColumns count="14">
    <tableColumn id="1" xr3:uid="{00000000-0010-0000-0200-000001000000}" name="Suggestion ID">
      <calculatedColumnFormula>"SUG-00" &amp; TEXT(ROW() - ROW(tblSuggestions[[#Headers],[Suggestion ID]]), "0;-0")</calculatedColumnFormula>
    </tableColumn>
    <tableColumn id="2" xr3:uid="{00000000-0010-0000-0200-000002000000}" name="Date"/>
    <tableColumn id="3" xr3:uid="{00000000-0010-0000-0200-000003000000}" name="Suggested By"/>
    <tableColumn id="4" xr3:uid="{00000000-0010-0000-0200-000004000000}" name="User Role / Persona"/>
    <tableColumn id="5" xr3:uid="{00000000-0010-0000-0200-000005000000}" name="UI Area"/>
    <tableColumn id="6" xr3:uid="{00000000-0010-0000-0200-000006000000}" name="Suggestion"/>
    <tableColumn id="7" xr3:uid="{00000000-0010-0000-0200-000007000000}" name="Expected Benefit"/>
    <tableColumn id="8" xr3:uid="{00000000-0010-0000-0200-000008000000}" name="Impact"/>
    <tableColumn id="9" xr3:uid="{00000000-0010-0000-0200-000009000000}" name="Effort"/>
    <tableColumn id="10" xr3:uid="{00000000-0010-0000-0200-00000A000000}" name="Priority Score"/>
    <tableColumn id="11" xr3:uid="{00000000-0010-0000-0200-00000B000000}" name="Status"/>
    <tableColumn id="12" xr3:uid="{00000000-0010-0000-0200-00000C000000}" name="Owner"/>
    <tableColumn id="13" xr3:uid="{00000000-0010-0000-0200-00000D000000}" name="Related Requirement ID"/>
    <tableColumn id="14" xr3:uid="{00000000-0010-0000-0200-00000E000000}" name="Notes"/>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UIInventory" displayName="tblUIInventory" ref="A4:I104">
  <autoFilter ref="A4:I104" xr:uid="{00000000-0009-0000-0100-000004000000}"/>
  <tableColumns count="9">
    <tableColumn id="1" xr3:uid="{00000000-0010-0000-0300-000001000000}" name="Screen ID"/>
    <tableColumn id="2" xr3:uid="{00000000-0010-0000-0300-000002000000}" name="Application Area"/>
    <tableColumn id="3" xr3:uid="{00000000-0010-0000-0300-000003000000}" name="Screen / Page"/>
    <tableColumn id="4" xr3:uid="{00000000-0010-0000-0300-000004000000}" name="Primary User Roles"/>
    <tableColumn id="5" xr3:uid="{00000000-0010-0000-0300-000005000000}" name="Key Tasks"/>
    <tableColumn id="6" xr3:uid="{00000000-0010-0000-0300-000006000000}" name="Existing Pain Points"/>
    <tableColumn id="7" xr3:uid="{00000000-0010-0000-0300-000007000000}" name="Open Questions"/>
    <tableColumn id="8" xr3:uid="{00000000-0010-0000-0300-000008000000}" name="Related Requirement IDs"/>
    <tableColumn id="9" xr3:uid="{00000000-0010-0000-0300-000009000000}" name="Related Feedback ID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topLeftCell="A5" workbookViewId="0">
      <selection activeCell="B7" sqref="B7"/>
    </sheetView>
  </sheetViews>
  <sheetFormatPr defaultRowHeight="15"/>
  <cols>
    <col min="1" max="1" width="16" customWidth="1"/>
    <col min="2" max="2" width="34.42578125" customWidth="1"/>
    <col min="3" max="3" width="90" customWidth="1"/>
    <col min="4" max="8" width="15" customWidth="1"/>
  </cols>
  <sheetData>
    <row r="1" spans="1:8" ht="21.95" customHeight="1">
      <c r="A1" s="27" t="s">
        <v>0</v>
      </c>
      <c r="B1" s="31"/>
      <c r="C1" s="31"/>
      <c r="D1" s="31"/>
      <c r="E1" s="31"/>
      <c r="F1" s="31"/>
      <c r="G1" s="31"/>
      <c r="H1" s="31"/>
    </row>
    <row r="2" spans="1:8" ht="21.95" customHeight="1">
      <c r="A2" s="26" t="s">
        <v>1</v>
      </c>
      <c r="B2" s="32"/>
      <c r="C2" s="32"/>
      <c r="D2" s="32"/>
      <c r="E2" s="32"/>
      <c r="F2" s="32"/>
      <c r="G2" s="32"/>
      <c r="H2" s="32"/>
    </row>
    <row r="3" spans="1:8" ht="21.95" customHeight="1">
      <c r="A3" s="16"/>
      <c r="B3" s="16"/>
      <c r="C3" s="16"/>
      <c r="H3" s="14"/>
    </row>
    <row r="4" spans="1:8" ht="21.95" customHeight="1">
      <c r="A4" s="10" t="s">
        <v>2</v>
      </c>
      <c r="B4" s="9"/>
      <c r="C4" s="9"/>
      <c r="H4" s="14"/>
    </row>
    <row r="5" spans="1:8" ht="21.95" customHeight="1">
      <c r="A5" s="9"/>
      <c r="B5" s="9"/>
      <c r="C5" s="9"/>
      <c r="H5" s="14"/>
    </row>
    <row r="6" spans="1:8" ht="29.25" customHeight="1">
      <c r="A6" s="11" t="s">
        <v>3</v>
      </c>
      <c r="B6" s="12" t="s">
        <v>4</v>
      </c>
      <c r="C6" s="13" t="s">
        <v>5</v>
      </c>
      <c r="H6" s="14"/>
    </row>
    <row r="7" spans="1:8" ht="33" customHeight="1">
      <c r="A7" s="11" t="s">
        <v>6</v>
      </c>
      <c r="B7" s="12" t="s">
        <v>7</v>
      </c>
      <c r="C7" s="13" t="s">
        <v>8</v>
      </c>
      <c r="H7" s="14"/>
    </row>
    <row r="8" spans="1:8" ht="21.95" customHeight="1">
      <c r="A8" s="11" t="s">
        <v>9</v>
      </c>
      <c r="B8" s="12" t="s">
        <v>10</v>
      </c>
      <c r="C8" s="13" t="s">
        <v>11</v>
      </c>
      <c r="H8" s="14"/>
    </row>
    <row r="9" spans="1:8" ht="21.95" customHeight="1">
      <c r="A9" s="11" t="s">
        <v>12</v>
      </c>
      <c r="B9" s="12" t="s">
        <v>13</v>
      </c>
      <c r="C9" s="13" t="s">
        <v>14</v>
      </c>
      <c r="H9" s="14"/>
    </row>
    <row r="10" spans="1:8" ht="21.95" customHeight="1">
      <c r="A10" s="11" t="s">
        <v>15</v>
      </c>
      <c r="B10" s="12" t="s">
        <v>16</v>
      </c>
      <c r="C10" s="13" t="s">
        <v>17</v>
      </c>
      <c r="H10" s="14"/>
    </row>
    <row r="11" spans="1:8" ht="21.95" customHeight="1">
      <c r="A11" s="9"/>
      <c r="B11" s="9"/>
      <c r="C11" s="9"/>
      <c r="H11" s="14"/>
    </row>
    <row r="12" spans="1:8" ht="21.95" customHeight="1">
      <c r="A12" s="9"/>
      <c r="B12" s="9"/>
      <c r="C12" s="9"/>
      <c r="H12" s="14"/>
    </row>
    <row r="13" spans="1:8" ht="21.95" customHeight="1">
      <c r="A13" s="10" t="s">
        <v>18</v>
      </c>
      <c r="B13" s="9"/>
      <c r="C13" s="9"/>
      <c r="H13" s="14"/>
    </row>
    <row r="14" spans="1:8" ht="36.75" customHeight="1">
      <c r="A14" s="13" t="s">
        <v>19</v>
      </c>
      <c r="B14" s="24" t="s">
        <v>20</v>
      </c>
      <c r="C14" s="25"/>
      <c r="H14" s="14"/>
    </row>
    <row r="15" spans="1:8" ht="32.25" customHeight="1">
      <c r="A15" s="13" t="s">
        <v>19</v>
      </c>
      <c r="B15" s="24" t="s">
        <v>21</v>
      </c>
      <c r="C15" s="25"/>
      <c r="H15" s="14"/>
    </row>
    <row r="16" spans="1:8" ht="30.75" customHeight="1">
      <c r="A16" s="13" t="s">
        <v>19</v>
      </c>
      <c r="B16" s="24" t="s">
        <v>22</v>
      </c>
      <c r="C16" s="25"/>
      <c r="H16" s="14"/>
    </row>
    <row r="17" spans="1:8" ht="32.25" customHeight="1">
      <c r="A17" s="13" t="s">
        <v>19</v>
      </c>
      <c r="B17" s="24" t="s">
        <v>23</v>
      </c>
      <c r="C17" s="25"/>
      <c r="H17" s="14"/>
    </row>
    <row r="18" spans="1:8">
      <c r="A18" s="9"/>
      <c r="B18" s="9"/>
      <c r="C18" s="9"/>
      <c r="H18" s="14"/>
    </row>
    <row r="19" spans="1:8">
      <c r="A19" s="9"/>
      <c r="B19" s="9"/>
      <c r="C19" s="9"/>
      <c r="D19" s="15"/>
      <c r="E19" s="15"/>
      <c r="F19" s="15"/>
      <c r="G19" s="15"/>
      <c r="H19" s="15"/>
    </row>
  </sheetData>
  <mergeCells count="6">
    <mergeCell ref="B17:C17"/>
    <mergeCell ref="A2:H2"/>
    <mergeCell ref="A1:H1"/>
    <mergeCell ref="B14:C14"/>
    <mergeCell ref="B15:C15"/>
    <mergeCell ref="B16:C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showGridLines="0" workbookViewId="0">
      <selection activeCell="A4" sqref="A4:B4"/>
    </sheetView>
  </sheetViews>
  <sheetFormatPr defaultRowHeight="15"/>
  <cols>
    <col min="1" max="1" width="31.7109375" customWidth="1"/>
    <col min="2" max="2" width="16" customWidth="1"/>
    <col min="3" max="3" width="4" customWidth="1"/>
    <col min="4" max="4" width="24" customWidth="1"/>
    <col min="5" max="5" width="16" customWidth="1"/>
    <col min="6" max="6" width="4" customWidth="1"/>
    <col min="7" max="7" width="24" customWidth="1"/>
    <col min="8" max="8" width="16" customWidth="1"/>
  </cols>
  <sheetData>
    <row r="1" spans="1:8" ht="21.95" customHeight="1">
      <c r="A1" s="23" t="s">
        <v>24</v>
      </c>
      <c r="B1" s="33"/>
      <c r="C1" s="33"/>
      <c r="D1" s="33"/>
      <c r="E1" s="33"/>
      <c r="F1" s="33"/>
      <c r="G1" s="33"/>
      <c r="H1" s="33"/>
    </row>
    <row r="2" spans="1:8" ht="21.95" customHeight="1">
      <c r="A2" s="22" t="s">
        <v>25</v>
      </c>
      <c r="B2" s="33"/>
      <c r="C2" s="33"/>
      <c r="D2" s="33"/>
      <c r="E2" s="33"/>
      <c r="F2" s="33"/>
      <c r="G2" s="33"/>
      <c r="H2" s="33"/>
    </row>
    <row r="3" spans="1:8" ht="33.75" customHeight="1">
      <c r="A3" s="29" t="s">
        <v>26</v>
      </c>
      <c r="B3" s="33"/>
      <c r="C3" s="29" t="s">
        <v>27</v>
      </c>
      <c r="D3" s="33"/>
      <c r="E3" s="29" t="s">
        <v>28</v>
      </c>
      <c r="F3" s="33"/>
      <c r="G3" s="29" t="s">
        <v>29</v>
      </c>
      <c r="H3" s="33"/>
    </row>
    <row r="4" spans="1:8" ht="21.95" customHeight="1">
      <c r="A4" s="30">
        <f>COUNTA(Requirements!$A:$A)-1</f>
        <v>154</v>
      </c>
      <c r="B4" s="33"/>
      <c r="C4" s="30">
        <f>COUNTIF(Feedback!$O:$O,"New")+COUNTIF(Feedback!$O:$O,"Under Review")</f>
        <v>0</v>
      </c>
      <c r="D4" s="33"/>
      <c r="E4" s="30">
        <f>COUNTIF(Requirements!$J:$J,"Approved")</f>
        <v>0</v>
      </c>
      <c r="F4" s="33"/>
      <c r="G4" s="30">
        <f>COUNTIF(Requirements!$J:$J,"Completed")+COUNTIF(Feedback!$O:$O,"Completed")+COUNTIF(Suggestions!$K:$K,"Completed")</f>
        <v>0</v>
      </c>
      <c r="H4" s="33"/>
    </row>
    <row r="5" spans="1:8" ht="21.95" customHeight="1"/>
    <row r="6" spans="1:8" ht="21.95" customHeight="1">
      <c r="A6" s="28" t="s">
        <v>30</v>
      </c>
      <c r="B6" s="33"/>
      <c r="D6" s="28" t="s">
        <v>31</v>
      </c>
      <c r="E6" s="33"/>
      <c r="G6" s="28" t="s">
        <v>32</v>
      </c>
      <c r="H6" s="33"/>
    </row>
    <row r="7" spans="1:8" ht="21.95" customHeight="1">
      <c r="A7" s="3" t="s">
        <v>33</v>
      </c>
      <c r="B7" s="3" t="s">
        <v>34</v>
      </c>
      <c r="D7" s="3" t="s">
        <v>35</v>
      </c>
      <c r="E7" s="3" t="s">
        <v>34</v>
      </c>
      <c r="G7" s="3" t="s">
        <v>36</v>
      </c>
      <c r="H7" s="3" t="s">
        <v>34</v>
      </c>
    </row>
    <row r="8" spans="1:8" ht="21.95" customHeight="1">
      <c r="A8" s="1" t="s">
        <v>37</v>
      </c>
      <c r="B8" s="1">
        <f>COUNTIF(Requirements!$J:$J,A8)</f>
        <v>0</v>
      </c>
      <c r="D8" s="1" t="s">
        <v>38</v>
      </c>
      <c r="E8" s="1">
        <f>COUNTIF(Requirements!$I:$I,D8)</f>
        <v>0</v>
      </c>
      <c r="G8" s="1" t="s">
        <v>39</v>
      </c>
      <c r="H8" s="1">
        <f>COUNTIF(Requirements!$E:$E,G8)+COUNTIF(Feedback!$E:$E,G8)+COUNTIF(Suggestions!$E:$E,G8)</f>
        <v>1</v>
      </c>
    </row>
    <row r="9" spans="1:8" ht="21.95" customHeight="1">
      <c r="A9" s="1" t="s">
        <v>40</v>
      </c>
      <c r="B9" s="1">
        <f>COUNTIF(Requirements!$J:$J,A9)</f>
        <v>0</v>
      </c>
      <c r="D9" s="1" t="s">
        <v>41</v>
      </c>
      <c r="E9" s="1">
        <f>COUNTIF(Requirements!$I:$I,D9)</f>
        <v>0</v>
      </c>
      <c r="G9" s="1" t="s">
        <v>42</v>
      </c>
      <c r="H9" s="1">
        <f>COUNTIF(Requirements!$E:$E,G9)+COUNTIF(Feedback!$E:$E,G9)+COUNTIF(Suggestions!$E:$E,G9)</f>
        <v>14</v>
      </c>
    </row>
    <row r="10" spans="1:8" ht="21.95" customHeight="1">
      <c r="A10" s="1" t="s">
        <v>43</v>
      </c>
      <c r="B10" s="1">
        <f>COUNTIF(Requirements!$J:$J,A10)</f>
        <v>0</v>
      </c>
      <c r="D10" s="1" t="s">
        <v>44</v>
      </c>
      <c r="E10" s="1">
        <f>COUNTIF(Requirements!$I:$I,D10)</f>
        <v>8</v>
      </c>
      <c r="G10" s="1" t="s">
        <v>45</v>
      </c>
      <c r="H10" s="1">
        <f>COUNTIF(Requirements!$E:$E,G10)+COUNTIF(Feedback!$E:$E,G10)+COUNTIF(Suggestions!$E:$E,G10)</f>
        <v>36</v>
      </c>
    </row>
    <row r="11" spans="1:8" ht="21.95" customHeight="1">
      <c r="A11" s="1" t="s">
        <v>46</v>
      </c>
      <c r="B11" s="1">
        <f>COUNTIF(Requirements!$J:$J,A11)</f>
        <v>0</v>
      </c>
      <c r="D11" s="1" t="s">
        <v>47</v>
      </c>
      <c r="E11" s="1">
        <f>COUNTIF(Requirements!$I:$I,D11)</f>
        <v>0</v>
      </c>
      <c r="G11" s="1" t="s">
        <v>48</v>
      </c>
      <c r="H11" s="1">
        <f>COUNTIF(Requirements!$E:$E,G11)+COUNTIF(Feedback!$E:$E,G11)+COUNTIF(Suggestions!$E:$E,G11)</f>
        <v>2</v>
      </c>
    </row>
    <row r="12" spans="1:8" ht="21.95" customHeight="1">
      <c r="A12" s="1" t="s">
        <v>49</v>
      </c>
      <c r="B12" s="1">
        <f>COUNTIF(Requirements!$J:$J,A12)</f>
        <v>0</v>
      </c>
      <c r="G12" s="1" t="s">
        <v>50</v>
      </c>
      <c r="H12" s="1">
        <f>COUNTIF(Requirements!$E:$E,G12)+COUNTIF(Feedback!$E:$E,G12)+COUNTIF(Suggestions!$E:$E,G12)</f>
        <v>3</v>
      </c>
    </row>
    <row r="13" spans="1:8" ht="21.95" customHeight="1">
      <c r="A13" s="1" t="s">
        <v>51</v>
      </c>
      <c r="B13" s="1">
        <f>COUNTIF(Requirements!$J:$J,A13)</f>
        <v>0</v>
      </c>
      <c r="G13" s="1" t="s">
        <v>52</v>
      </c>
      <c r="H13" s="1">
        <f>COUNTIF(Requirements!$E:$E,G13)+COUNTIF(Feedback!$E:$E,G13)+COUNTIF(Suggestions!$E:$E,G13)</f>
        <v>9</v>
      </c>
    </row>
    <row r="14" spans="1:8" ht="21.95" customHeight="1">
      <c r="A14" s="1" t="s">
        <v>53</v>
      </c>
      <c r="B14" s="1">
        <f>COUNTIF(Requirements!$J:$J,A14)</f>
        <v>0</v>
      </c>
      <c r="G14" s="1" t="s">
        <v>54</v>
      </c>
      <c r="H14" s="1">
        <f>COUNTIF(Requirements!$E:$E,G14)+COUNTIF(Feedback!$E:$E,G14)+COUNTIF(Suggestions!$E:$E,G14)</f>
        <v>0</v>
      </c>
    </row>
    <row r="15" spans="1:8" ht="21.95" customHeight="1">
      <c r="G15" s="1" t="s">
        <v>55</v>
      </c>
      <c r="H15" s="1">
        <f>COUNTIF(Requirements!$E:$E,G15)+COUNTIF(Feedback!$E:$E,G15)+COUNTIF(Suggestions!$E:$E,G15)</f>
        <v>0</v>
      </c>
    </row>
    <row r="16" spans="1:8" ht="21.95" customHeight="1">
      <c r="G16" s="1" t="s">
        <v>56</v>
      </c>
      <c r="H16" s="1">
        <f>COUNTIF(Requirements!$E:$E,G16)+COUNTIF(Feedback!$E:$E,G16)+COUNTIF(Suggestions!$E:$E,G16)</f>
        <v>0</v>
      </c>
    </row>
    <row r="17" spans="1:8" ht="21.95" customHeight="1">
      <c r="A17" s="28" t="s">
        <v>57</v>
      </c>
      <c r="B17" s="33"/>
      <c r="D17" s="28" t="s">
        <v>58</v>
      </c>
      <c r="E17" s="33"/>
      <c r="G17" s="1" t="s">
        <v>59</v>
      </c>
      <c r="H17" s="1">
        <f>COUNTIF(Requirements!$E:$E,G17)+COUNTIF(Feedback!$E:$E,G17)+COUNTIF(Suggestions!$E:$E,G17)</f>
        <v>0</v>
      </c>
    </row>
    <row r="18" spans="1:8" ht="21.95" customHeight="1">
      <c r="A18" s="3" t="s">
        <v>60</v>
      </c>
      <c r="B18" s="3" t="s">
        <v>34</v>
      </c>
      <c r="D18" s="3" t="s">
        <v>33</v>
      </c>
      <c r="E18" s="3" t="s">
        <v>34</v>
      </c>
      <c r="G18" s="1" t="s">
        <v>61</v>
      </c>
      <c r="H18" s="1">
        <f>COUNTIF(Requirements!$E:$E,G18)+COUNTIF(Feedback!$E:$E,G18)+COUNTIF(Suggestions!$E:$E,G18)</f>
        <v>9</v>
      </c>
    </row>
    <row r="19" spans="1:8" ht="21.95" customHeight="1">
      <c r="A19" s="1" t="s">
        <v>38</v>
      </c>
      <c r="B19" s="1">
        <f>COUNTIF(Feedback!$H:$H,A19)</f>
        <v>0</v>
      </c>
      <c r="D19" s="1" t="s">
        <v>37</v>
      </c>
      <c r="E19" s="1">
        <f>COUNTIF(Suggestions!$K:$K,D19)</f>
        <v>0</v>
      </c>
    </row>
    <row r="20" spans="1:8" ht="21.95" customHeight="1">
      <c r="A20" s="1" t="s">
        <v>41</v>
      </c>
      <c r="B20" s="1">
        <f>COUNTIF(Feedback!$H:$H,A20)</f>
        <v>10</v>
      </c>
      <c r="D20" s="1" t="s">
        <v>40</v>
      </c>
      <c r="E20" s="1">
        <f>COUNTIF(Suggestions!$K:$K,D20)</f>
        <v>0</v>
      </c>
    </row>
    <row r="21" spans="1:8" ht="21.95" customHeight="1">
      <c r="A21" s="1" t="s">
        <v>44</v>
      </c>
      <c r="B21" s="1">
        <f>COUNTIF(Feedback!$H:$H,A21)</f>
        <v>17</v>
      </c>
      <c r="D21" s="1" t="s">
        <v>43</v>
      </c>
      <c r="E21" s="1">
        <f>COUNTIF(Suggestions!$K:$K,D21)</f>
        <v>0</v>
      </c>
    </row>
    <row r="22" spans="1:8" ht="21.95" customHeight="1">
      <c r="A22" s="1" t="s">
        <v>47</v>
      </c>
      <c r="B22" s="1">
        <f>COUNTIF(Feedback!$H:$H,A22)</f>
        <v>64</v>
      </c>
      <c r="D22" s="1" t="s">
        <v>46</v>
      </c>
      <c r="E22" s="1">
        <f>COUNTIF(Suggestions!$K:$K,D22)</f>
        <v>0</v>
      </c>
    </row>
    <row r="23" spans="1:8" ht="21.95" customHeight="1">
      <c r="D23" s="1" t="s">
        <v>49</v>
      </c>
      <c r="E23" s="1">
        <f>COUNTIF(Suggestions!$K:$K,D23)</f>
        <v>0</v>
      </c>
    </row>
    <row r="24" spans="1:8" ht="21.95" customHeight="1">
      <c r="D24" s="1" t="s">
        <v>51</v>
      </c>
      <c r="E24" s="1">
        <f>COUNTIF(Suggestions!$K:$K,D24)</f>
        <v>0</v>
      </c>
    </row>
    <row r="25" spans="1:8" ht="21.95" customHeight="1">
      <c r="D25" s="1" t="s">
        <v>53</v>
      </c>
      <c r="E25" s="1">
        <f>COUNTIF(Suggestions!$K:$K,D25)</f>
        <v>0</v>
      </c>
    </row>
  </sheetData>
  <mergeCells count="15">
    <mergeCell ref="A1:H1"/>
    <mergeCell ref="D6:E6"/>
    <mergeCell ref="A4:B4"/>
    <mergeCell ref="E4:F4"/>
    <mergeCell ref="G4:H4"/>
    <mergeCell ref="G3:H3"/>
    <mergeCell ref="C3:D3"/>
    <mergeCell ref="A2:H2"/>
    <mergeCell ref="G6:H6"/>
    <mergeCell ref="A17:B17"/>
    <mergeCell ref="D17:E17"/>
    <mergeCell ref="A3:B3"/>
    <mergeCell ref="A6:B6"/>
    <mergeCell ref="E3:F3"/>
    <mergeCell ref="C4:D4"/>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56"/>
  <sheetViews>
    <sheetView showGridLines="0" tabSelected="1" workbookViewId="0">
      <pane ySplit="4" topLeftCell="A19" activePane="bottomLeft" state="frozen"/>
      <selection pane="bottomLeft" activeCell="Q23" sqref="Q23"/>
    </sheetView>
  </sheetViews>
  <sheetFormatPr defaultRowHeight="15"/>
  <cols>
    <col min="1" max="2" width="16" customWidth="1"/>
    <col min="3" max="3" width="20" customWidth="1"/>
    <col min="4" max="4" width="22" customWidth="1"/>
    <col min="5" max="5" width="20" customWidth="1"/>
    <col min="6" max="6" width="42" customWidth="1"/>
    <col min="7" max="7" width="38" hidden="1" customWidth="1"/>
    <col min="8" max="8" width="20" hidden="1" customWidth="1"/>
    <col min="9" max="9" width="14" hidden="1" customWidth="1"/>
    <col min="10" max="10" width="17" hidden="1" customWidth="1"/>
    <col min="11" max="11" width="42" hidden="1" customWidth="1"/>
    <col min="12" max="12" width="25" hidden="1" customWidth="1"/>
    <col min="13" max="13" width="20" hidden="1" customWidth="1"/>
    <col min="14" max="14" width="18" hidden="1" customWidth="1"/>
    <col min="15" max="15" width="14" hidden="1" customWidth="1"/>
    <col min="16" max="16" width="32" customWidth="1"/>
    <col min="17" max="17" width="35" customWidth="1"/>
  </cols>
  <sheetData>
    <row r="1" spans="1:17" ht="21.95" customHeight="1">
      <c r="A1" s="23" t="s">
        <v>62</v>
      </c>
      <c r="B1" s="33"/>
      <c r="C1" s="33"/>
      <c r="D1" s="33"/>
      <c r="E1" s="33"/>
      <c r="F1" s="33"/>
      <c r="G1" s="33"/>
      <c r="H1" s="33"/>
    </row>
    <row r="2" spans="1:17" ht="21.95" customHeight="1">
      <c r="A2" s="22" t="s">
        <v>63</v>
      </c>
      <c r="B2" s="33"/>
      <c r="C2" s="33"/>
      <c r="D2" s="33"/>
      <c r="E2" s="33"/>
      <c r="F2" s="33"/>
      <c r="G2" s="33"/>
      <c r="H2" s="33"/>
    </row>
    <row r="3" spans="1:17" ht="21.95" customHeight="1"/>
    <row r="4" spans="1:17" ht="21.95" customHeight="1">
      <c r="A4" s="5" t="s">
        <v>64</v>
      </c>
      <c r="B4" s="5" t="s">
        <v>65</v>
      </c>
      <c r="C4" s="5" t="s">
        <v>66</v>
      </c>
      <c r="D4" s="5" t="s">
        <v>67</v>
      </c>
      <c r="E4" s="5" t="s">
        <v>36</v>
      </c>
      <c r="F4" s="5" t="s">
        <v>68</v>
      </c>
      <c r="G4" s="5" t="s">
        <v>69</v>
      </c>
      <c r="H4" s="5" t="s">
        <v>70</v>
      </c>
      <c r="I4" s="5" t="s">
        <v>35</v>
      </c>
      <c r="J4" s="5" t="s">
        <v>33</v>
      </c>
      <c r="K4" s="5" t="s">
        <v>71</v>
      </c>
      <c r="L4" s="5" t="s">
        <v>72</v>
      </c>
      <c r="M4" s="5" t="s">
        <v>73</v>
      </c>
      <c r="N4" s="5" t="s">
        <v>74</v>
      </c>
      <c r="O4" s="5" t="s">
        <v>75</v>
      </c>
      <c r="P4" s="5" t="s">
        <v>76</v>
      </c>
      <c r="Q4" s="5" t="s">
        <v>77</v>
      </c>
    </row>
    <row r="5" spans="1:17" ht="35.25" customHeight="1">
      <c r="A5" s="6" t="str">
        <f>"REQ-00" &amp; TEXT(ROW() - ROW(tblRequirements[[#Headers],[Requirement ID]]), "0;-0")</f>
        <v>REQ-001</v>
      </c>
      <c r="B5" s="7">
        <v>46245</v>
      </c>
      <c r="C5" s="6" t="s">
        <v>78</v>
      </c>
      <c r="D5" s="6"/>
      <c r="E5" s="6" t="s">
        <v>45</v>
      </c>
      <c r="F5" s="6" t="s">
        <v>79</v>
      </c>
      <c r="G5" s="6"/>
      <c r="H5" s="6" t="s">
        <v>80</v>
      </c>
      <c r="I5" s="6" t="s">
        <v>44</v>
      </c>
      <c r="J5" s="6"/>
      <c r="K5" s="6"/>
      <c r="L5" s="6"/>
      <c r="M5" s="6"/>
      <c r="N5" s="6"/>
      <c r="O5" s="7"/>
      <c r="P5" s="6"/>
      <c r="Q5" s="6"/>
    </row>
    <row r="6" spans="1:17" ht="105.75" customHeight="1">
      <c r="A6" s="6" t="str">
        <f>"REQ-00" &amp; TEXT(ROW() - ROW(tblRequirements[[#Headers],[Requirement ID]]), "0;-0")</f>
        <v>REQ-002</v>
      </c>
      <c r="B6" s="7">
        <v>46245</v>
      </c>
      <c r="C6" s="6" t="s">
        <v>78</v>
      </c>
      <c r="D6" s="6"/>
      <c r="E6" s="6" t="s">
        <v>45</v>
      </c>
      <c r="F6" s="6" t="s">
        <v>81</v>
      </c>
      <c r="G6" s="6"/>
      <c r="H6" s="6" t="s">
        <v>82</v>
      </c>
      <c r="I6" s="6" t="s">
        <v>44</v>
      </c>
      <c r="J6" s="6"/>
      <c r="K6" s="6"/>
      <c r="L6" s="6"/>
      <c r="M6" s="6"/>
      <c r="N6" s="6"/>
      <c r="O6" s="7"/>
      <c r="P6" s="6"/>
      <c r="Q6" s="6"/>
    </row>
    <row r="7" spans="1:17" ht="21.95" customHeight="1">
      <c r="A7" s="6" t="str">
        <f>"REQ-00" &amp; TEXT(ROW() - ROW(tblRequirements[[#Headers],[Requirement ID]]), "0;-0")</f>
        <v>REQ-003</v>
      </c>
      <c r="B7" s="7">
        <v>46258</v>
      </c>
      <c r="C7" s="6" t="s">
        <v>83</v>
      </c>
      <c r="D7" s="6"/>
      <c r="E7" s="6" t="s">
        <v>84</v>
      </c>
      <c r="F7" s="6" t="s">
        <v>85</v>
      </c>
      <c r="G7" s="6"/>
      <c r="H7" s="6" t="s">
        <v>80</v>
      </c>
      <c r="I7" s="6" t="s">
        <v>44</v>
      </c>
      <c r="J7" s="6"/>
      <c r="K7" s="6"/>
      <c r="L7" s="6"/>
      <c r="M7" s="6"/>
      <c r="N7" s="6"/>
      <c r="O7" s="7"/>
      <c r="P7" s="6"/>
      <c r="Q7" s="6"/>
    </row>
    <row r="8" spans="1:17" ht="39" customHeight="1">
      <c r="A8" s="6" t="str">
        <f>"REQ-00" &amp; TEXT(ROW() - ROW(tblRequirements[[#Headers],[Requirement ID]]), "0;-0")</f>
        <v>REQ-004</v>
      </c>
      <c r="B8" s="7">
        <v>46259</v>
      </c>
      <c r="C8" s="6" t="s">
        <v>86</v>
      </c>
      <c r="D8" s="6"/>
      <c r="E8" s="6" t="s">
        <v>45</v>
      </c>
      <c r="F8" s="6" t="s">
        <v>87</v>
      </c>
      <c r="G8" s="6"/>
      <c r="H8" s="6" t="s">
        <v>82</v>
      </c>
      <c r="I8" s="6" t="s">
        <v>44</v>
      </c>
      <c r="J8" s="6"/>
      <c r="K8" s="6"/>
      <c r="L8" s="6"/>
      <c r="M8" s="6"/>
      <c r="N8" s="6"/>
      <c r="O8" s="7"/>
      <c r="P8" s="6" t="s">
        <v>88</v>
      </c>
      <c r="Q8" s="6"/>
    </row>
    <row r="9" spans="1:17" ht="113.25" customHeight="1">
      <c r="A9" s="6" t="str">
        <f>"REQ-00" &amp; TEXT(ROW() - ROW(tblRequirements[[#Headers],[Requirement ID]]), "0;-0")</f>
        <v>REQ-005</v>
      </c>
      <c r="B9" s="7">
        <v>46259</v>
      </c>
      <c r="C9" s="6" t="s">
        <v>86</v>
      </c>
      <c r="D9" s="6"/>
      <c r="E9" s="6" t="s">
        <v>45</v>
      </c>
      <c r="F9" s="6" t="s">
        <v>89</v>
      </c>
      <c r="G9" s="6"/>
      <c r="H9" s="6" t="s">
        <v>82</v>
      </c>
      <c r="I9" s="6" t="s">
        <v>44</v>
      </c>
      <c r="J9" s="6"/>
      <c r="K9" s="6"/>
      <c r="L9" s="6"/>
      <c r="M9" s="6"/>
      <c r="N9" s="6"/>
      <c r="O9" s="7"/>
      <c r="P9" s="6" t="s">
        <v>88</v>
      </c>
      <c r="Q9" s="6" t="s">
        <v>90</v>
      </c>
    </row>
    <row r="10" spans="1:17" ht="53.25" customHeight="1">
      <c r="A10" s="6" t="str">
        <f>"REQ-00" &amp; TEXT(ROW() - ROW(tblRequirements[[#Headers],[Requirement ID]]), "0;-0")</f>
        <v>REQ-006</v>
      </c>
      <c r="B10" s="7">
        <v>46259</v>
      </c>
      <c r="C10" s="6" t="s">
        <v>86</v>
      </c>
      <c r="D10" s="6"/>
      <c r="E10" s="6" t="s">
        <v>45</v>
      </c>
      <c r="F10" s="6" t="s">
        <v>91</v>
      </c>
      <c r="G10" s="6"/>
      <c r="H10" s="6" t="s">
        <v>82</v>
      </c>
      <c r="I10" s="6" t="s">
        <v>44</v>
      </c>
      <c r="J10" s="6"/>
      <c r="K10" s="6"/>
      <c r="L10" s="6"/>
      <c r="M10" s="6"/>
      <c r="N10" s="6"/>
      <c r="O10" s="7"/>
      <c r="P10" s="6" t="s">
        <v>92</v>
      </c>
      <c r="Q10" s="6"/>
    </row>
    <row r="11" spans="1:17" ht="66.75" customHeight="1">
      <c r="A11" s="6" t="str">
        <f>"REQ-00" &amp; TEXT(ROW() - ROW(tblRequirements[[#Headers],[Requirement ID]]), "0;-0")</f>
        <v>REQ-007</v>
      </c>
      <c r="B11" s="7">
        <v>46261</v>
      </c>
      <c r="C11" s="6" t="s">
        <v>86</v>
      </c>
      <c r="D11" s="6"/>
      <c r="E11" s="6" t="s">
        <v>84</v>
      </c>
      <c r="F11" s="6" t="s">
        <v>93</v>
      </c>
      <c r="G11" s="6"/>
      <c r="H11" s="6"/>
      <c r="I11" s="6"/>
      <c r="J11" s="6"/>
      <c r="K11" s="6"/>
      <c r="L11" s="6"/>
      <c r="M11" s="6"/>
      <c r="N11" s="6"/>
      <c r="O11" s="7"/>
      <c r="P11" s="6"/>
      <c r="Q11" s="6" t="s">
        <v>94</v>
      </c>
    </row>
    <row r="12" spans="1:17" ht="64.5" customHeight="1">
      <c r="A12" s="6" t="str">
        <f>"REQ-00" &amp; TEXT(ROW() - ROW(tblRequirements[[#Headers],[Requirement ID]]), "0;-0")</f>
        <v>REQ-008</v>
      </c>
      <c r="B12" s="7">
        <v>46261</v>
      </c>
      <c r="C12" s="6" t="s">
        <v>86</v>
      </c>
      <c r="D12" s="6"/>
      <c r="E12" s="6" t="s">
        <v>52</v>
      </c>
      <c r="F12" s="6" t="s">
        <v>95</v>
      </c>
      <c r="G12" s="6"/>
      <c r="H12" s="6" t="s">
        <v>82</v>
      </c>
      <c r="I12" s="6" t="s">
        <v>44</v>
      </c>
      <c r="J12" s="6"/>
      <c r="K12" s="6"/>
      <c r="L12" s="6"/>
      <c r="M12" s="6"/>
      <c r="N12" s="6"/>
      <c r="O12" s="7"/>
      <c r="P12" s="6"/>
      <c r="Q12" s="6" t="s">
        <v>96</v>
      </c>
    </row>
    <row r="13" spans="1:17" ht="103.5" customHeight="1">
      <c r="A13" s="6" t="str">
        <f>"REQ-00" &amp; TEXT(ROW() - ROW(tblRequirements[[#Headers],[Requirement ID]]), "0;-0")</f>
        <v>REQ-009</v>
      </c>
      <c r="B13" s="7">
        <v>46261</v>
      </c>
      <c r="C13" s="6" t="s">
        <v>86</v>
      </c>
      <c r="D13" s="6"/>
      <c r="E13" s="6" t="s">
        <v>45</v>
      </c>
      <c r="F13" s="6" t="s">
        <v>97</v>
      </c>
      <c r="G13" s="6"/>
      <c r="H13" s="6" t="s">
        <v>50</v>
      </c>
      <c r="I13" s="6" t="s">
        <v>44</v>
      </c>
      <c r="J13" s="6"/>
      <c r="K13" s="6"/>
      <c r="L13" s="6"/>
      <c r="M13" s="6"/>
      <c r="N13" s="6"/>
      <c r="O13" s="7"/>
      <c r="P13" s="6"/>
      <c r="Q13" s="6" t="s">
        <v>96</v>
      </c>
    </row>
    <row r="14" spans="1:17" ht="47.25" customHeight="1">
      <c r="A14" s="6" t="str">
        <f>"REQ-00" &amp; TEXT(ROW() - ROW(tblRequirements[[#Headers],[Requirement ID]]), "0;-0")</f>
        <v>REQ-0010</v>
      </c>
      <c r="B14" s="7">
        <v>46261</v>
      </c>
      <c r="C14" s="6" t="s">
        <v>86</v>
      </c>
      <c r="D14" s="6"/>
      <c r="E14" s="6" t="s">
        <v>45</v>
      </c>
      <c r="F14" s="6" t="s">
        <v>98</v>
      </c>
      <c r="G14" s="6"/>
      <c r="H14" s="6"/>
      <c r="I14" s="6"/>
      <c r="J14" s="6"/>
      <c r="K14" s="6"/>
      <c r="L14" s="6"/>
      <c r="M14" s="6"/>
      <c r="N14" s="6"/>
      <c r="O14" s="7"/>
      <c r="P14" s="6"/>
      <c r="Q14" s="6" t="s">
        <v>99</v>
      </c>
    </row>
    <row r="15" spans="1:17" ht="73.5" customHeight="1">
      <c r="A15" s="6" t="str">
        <f>"REQ-00" &amp; TEXT(ROW() - ROW(tblRequirements[[#Headers],[Requirement ID]]), "0;-0")</f>
        <v>REQ-0011</v>
      </c>
      <c r="B15" s="7">
        <v>46261</v>
      </c>
      <c r="C15" s="6" t="s">
        <v>86</v>
      </c>
      <c r="D15" s="6"/>
      <c r="E15" s="6" t="s">
        <v>45</v>
      </c>
      <c r="F15" s="6" t="s">
        <v>100</v>
      </c>
      <c r="G15" s="6"/>
      <c r="H15" s="6"/>
      <c r="I15" s="6"/>
      <c r="J15" s="6"/>
      <c r="K15" s="6"/>
      <c r="L15" s="6"/>
      <c r="M15" s="6"/>
      <c r="N15" s="6"/>
      <c r="O15" s="7"/>
      <c r="P15" s="6"/>
      <c r="Q15" s="6" t="s">
        <v>101</v>
      </c>
    </row>
    <row r="16" spans="1:17" ht="103.5" customHeight="1">
      <c r="A16" s="6" t="str">
        <f>"REQ-00" &amp; TEXT(ROW() - ROW(tblRequirements[[#Headers],[Requirement ID]]), "0;-0")</f>
        <v>REQ-0012</v>
      </c>
      <c r="B16" s="7">
        <v>46267</v>
      </c>
      <c r="C16" s="6" t="s">
        <v>86</v>
      </c>
      <c r="D16" s="6"/>
      <c r="E16" s="6" t="s">
        <v>42</v>
      </c>
      <c r="F16" s="6" t="s">
        <v>102</v>
      </c>
      <c r="G16" s="6"/>
      <c r="H16" s="6"/>
      <c r="I16" s="6"/>
      <c r="J16" s="6"/>
      <c r="K16" s="6"/>
      <c r="L16" s="6"/>
      <c r="M16" s="6"/>
      <c r="N16" s="6"/>
      <c r="O16" s="7"/>
      <c r="P16" s="6"/>
      <c r="Q16" s="6" t="s">
        <v>103</v>
      </c>
    </row>
    <row r="17" spans="1:17" ht="63" customHeight="1">
      <c r="A17" s="6" t="str">
        <f>"REQ-00" &amp; TEXT(ROW() - ROW(tblRequirements[[#Headers],[Requirement ID]]), "0;-0")</f>
        <v>REQ-0013</v>
      </c>
      <c r="B17" s="7">
        <v>46267</v>
      </c>
      <c r="C17" s="6" t="s">
        <v>86</v>
      </c>
      <c r="D17" s="6"/>
      <c r="E17" s="6" t="s">
        <v>42</v>
      </c>
      <c r="F17" s="6" t="s">
        <v>104</v>
      </c>
      <c r="G17" s="6"/>
      <c r="H17" s="6"/>
      <c r="I17" s="6"/>
      <c r="J17" s="6"/>
      <c r="K17" s="6"/>
      <c r="L17" s="6"/>
      <c r="M17" s="6"/>
      <c r="N17" s="6"/>
      <c r="O17" s="7"/>
      <c r="P17" s="6"/>
      <c r="Q17" s="6" t="s">
        <v>105</v>
      </c>
    </row>
    <row r="18" spans="1:17" ht="52.5" customHeight="1">
      <c r="A18" s="6" t="str">
        <f>"REQ-00" &amp; TEXT(ROW() - ROW(tblRequirements[[#Headers],[Requirement ID]]), "0;-0")</f>
        <v>REQ-0014</v>
      </c>
      <c r="B18" s="7">
        <v>46268</v>
      </c>
      <c r="C18" s="6" t="s">
        <v>86</v>
      </c>
      <c r="D18" s="6"/>
      <c r="E18" s="6" t="s">
        <v>42</v>
      </c>
      <c r="F18" s="6" t="s">
        <v>106</v>
      </c>
      <c r="G18" s="6"/>
      <c r="H18" s="6"/>
      <c r="I18" s="6"/>
      <c r="J18" s="6"/>
      <c r="K18" s="6"/>
      <c r="L18" s="6"/>
      <c r="M18" s="6"/>
      <c r="N18" s="6"/>
      <c r="O18" s="7"/>
      <c r="P18" s="6"/>
      <c r="Q18" s="6" t="s">
        <v>107</v>
      </c>
    </row>
    <row r="19" spans="1:17" ht="115.5" customHeight="1">
      <c r="A19" s="6" t="str">
        <f>"REQ-00" &amp; TEXT(ROW() - ROW(tblRequirements[[#Headers],[Requirement ID]]), "0;-0")</f>
        <v>REQ-0015</v>
      </c>
      <c r="B19" s="7">
        <v>46268</v>
      </c>
      <c r="C19" s="6" t="s">
        <v>86</v>
      </c>
      <c r="D19" s="6"/>
      <c r="E19" s="6" t="s">
        <v>42</v>
      </c>
      <c r="F19" s="6" t="s">
        <v>108</v>
      </c>
      <c r="G19" s="6"/>
      <c r="H19" s="6"/>
      <c r="I19" s="6"/>
      <c r="J19" s="6"/>
      <c r="K19" s="6"/>
      <c r="L19" s="6"/>
      <c r="M19" s="6"/>
      <c r="N19" s="6"/>
      <c r="O19" s="7"/>
      <c r="P19" s="6"/>
      <c r="Q19" s="6" t="s">
        <v>109</v>
      </c>
    </row>
    <row r="20" spans="1:17" ht="51.75" customHeight="1">
      <c r="A20" s="6" t="str">
        <f>"REQ-00" &amp; TEXT(ROW() - ROW(tblRequirements[[#Headers],[Requirement ID]]), "0;-0")</f>
        <v>REQ-0016</v>
      </c>
      <c r="B20" s="7">
        <v>46268</v>
      </c>
      <c r="C20" s="6" t="s">
        <v>86</v>
      </c>
      <c r="D20" s="6"/>
      <c r="E20" s="6" t="s">
        <v>42</v>
      </c>
      <c r="F20" s="6" t="s">
        <v>110</v>
      </c>
      <c r="G20" s="6"/>
      <c r="H20" s="6"/>
      <c r="I20" s="6"/>
      <c r="J20" s="6"/>
      <c r="K20" s="6"/>
      <c r="L20" s="6"/>
      <c r="M20" s="6"/>
      <c r="N20" s="6"/>
      <c r="O20" s="7"/>
      <c r="P20" s="6"/>
      <c r="Q20" s="6" t="s">
        <v>111</v>
      </c>
    </row>
    <row r="21" spans="1:17" ht="48" customHeight="1">
      <c r="A21" s="6" t="str">
        <f>"REQ-00" &amp; TEXT(ROW() - ROW(tblRequirements[[#Headers],[Requirement ID]]), "0;-0")</f>
        <v>REQ-0017</v>
      </c>
      <c r="B21" s="7">
        <v>46268</v>
      </c>
      <c r="C21" s="6" t="s">
        <v>86</v>
      </c>
      <c r="D21" s="6"/>
      <c r="E21" s="6" t="s">
        <v>42</v>
      </c>
      <c r="F21" s="6" t="s">
        <v>112</v>
      </c>
      <c r="G21" s="6"/>
      <c r="H21" s="6"/>
      <c r="I21" s="6"/>
      <c r="J21" s="6"/>
      <c r="K21" s="6"/>
      <c r="L21" s="6"/>
      <c r="M21" s="6"/>
      <c r="N21" s="6"/>
      <c r="O21" s="7"/>
      <c r="P21" s="6"/>
      <c r="Q21" s="6" t="s">
        <v>111</v>
      </c>
    </row>
    <row r="22" spans="1:17" ht="75" customHeight="1">
      <c r="A22" s="6" t="str">
        <f>"REQ-00" &amp; TEXT(ROW() - ROW(tblRequirements[[#Headers],[Requirement ID]]), "0;-0")</f>
        <v>REQ-0018</v>
      </c>
      <c r="B22" s="7">
        <v>46268</v>
      </c>
      <c r="C22" s="6" t="s">
        <v>86</v>
      </c>
      <c r="D22" s="6"/>
      <c r="E22" s="6" t="s">
        <v>42</v>
      </c>
      <c r="F22" s="6" t="s">
        <v>113</v>
      </c>
      <c r="G22" s="6"/>
      <c r="H22" s="6"/>
      <c r="I22" s="6"/>
      <c r="J22" s="6"/>
      <c r="K22" s="6"/>
      <c r="L22" s="6"/>
      <c r="M22" s="6"/>
      <c r="N22" s="6"/>
      <c r="O22" s="7"/>
      <c r="P22" s="6"/>
      <c r="Q22" s="6" t="s">
        <v>105</v>
      </c>
    </row>
    <row r="23" spans="1:17" ht="21.95" customHeight="1">
      <c r="A23" s="6" t="str">
        <f>"REQ-00" &amp; TEXT(ROW() - ROW(tblRequirements[[#Headers],[Requirement ID]]), "0;-0")</f>
        <v>REQ-0019</v>
      </c>
      <c r="B23" s="7">
        <v>46268</v>
      </c>
      <c r="C23" s="6" t="s">
        <v>86</v>
      </c>
      <c r="D23" s="6"/>
      <c r="E23" s="6" t="s">
        <v>114</v>
      </c>
      <c r="F23" s="6" t="s">
        <v>115</v>
      </c>
      <c r="G23" s="6"/>
      <c r="H23" s="6"/>
      <c r="I23" s="6"/>
      <c r="J23" s="6"/>
      <c r="K23" s="6"/>
      <c r="L23" s="6"/>
      <c r="M23" s="6"/>
      <c r="N23" s="6"/>
      <c r="O23" s="7"/>
      <c r="P23" s="6"/>
      <c r="Q23" s="6" t="s">
        <v>105</v>
      </c>
    </row>
    <row r="24" spans="1:17" ht="21.95" customHeight="1">
      <c r="A24" s="6" t="str">
        <f>"REQ-00" &amp; TEXT(ROW() - ROW(tblRequirements[[#Headers],[Requirement ID]]), "0;-0")</f>
        <v>REQ-0020</v>
      </c>
      <c r="B24" s="7"/>
      <c r="C24" s="6"/>
      <c r="D24" s="6"/>
      <c r="E24" s="6"/>
      <c r="F24" s="6"/>
      <c r="G24" s="6"/>
      <c r="H24" s="6"/>
      <c r="I24" s="6"/>
      <c r="J24" s="6"/>
      <c r="K24" s="6"/>
      <c r="L24" s="6"/>
      <c r="M24" s="6"/>
      <c r="N24" s="6"/>
      <c r="O24" s="7"/>
      <c r="P24" s="6"/>
      <c r="Q24" s="6"/>
    </row>
    <row r="25" spans="1:17" ht="21.95" customHeight="1">
      <c r="A25" s="6" t="str">
        <f>"REQ-00" &amp; TEXT(ROW() - ROW(tblRequirements[[#Headers],[Requirement ID]]), "0;-0")</f>
        <v>REQ-0021</v>
      </c>
      <c r="B25" s="7"/>
      <c r="C25" s="6"/>
      <c r="D25" s="6"/>
      <c r="E25" s="6"/>
      <c r="F25" s="6"/>
      <c r="G25" s="6"/>
      <c r="H25" s="6"/>
      <c r="I25" s="6"/>
      <c r="J25" s="6"/>
      <c r="K25" s="6"/>
      <c r="L25" s="6"/>
      <c r="M25" s="6"/>
      <c r="N25" s="6"/>
      <c r="O25" s="7"/>
      <c r="P25" s="6"/>
      <c r="Q25" s="6"/>
    </row>
    <row r="26" spans="1:17" ht="21.95" customHeight="1">
      <c r="A26" s="6" t="str">
        <f>"REQ-00" &amp; TEXT(ROW() - ROW(tblRequirements[[#Headers],[Requirement ID]]), "0;-0")</f>
        <v>REQ-0022</v>
      </c>
      <c r="B26" s="7"/>
      <c r="C26" s="6"/>
      <c r="D26" s="6"/>
      <c r="E26" s="6"/>
      <c r="F26" s="6"/>
      <c r="G26" s="6"/>
      <c r="H26" s="6"/>
      <c r="I26" s="6"/>
      <c r="J26" s="6"/>
      <c r="K26" s="6"/>
      <c r="L26" s="6"/>
      <c r="M26" s="6"/>
      <c r="N26" s="6"/>
      <c r="O26" s="7"/>
      <c r="P26" s="6"/>
      <c r="Q26" s="6"/>
    </row>
    <row r="27" spans="1:17" ht="21.95" customHeight="1">
      <c r="A27" s="6" t="str">
        <f>"REQ-00" &amp; TEXT(ROW() - ROW(tblRequirements[[#Headers],[Requirement ID]]), "0;-0")</f>
        <v>REQ-0023</v>
      </c>
      <c r="B27" s="7"/>
      <c r="C27" s="6"/>
      <c r="D27" s="6"/>
      <c r="E27" s="6"/>
      <c r="F27" s="6"/>
      <c r="G27" s="6"/>
      <c r="H27" s="6"/>
      <c r="I27" s="6"/>
      <c r="J27" s="6"/>
      <c r="K27" s="6"/>
      <c r="L27" s="6"/>
      <c r="M27" s="6"/>
      <c r="N27" s="6"/>
      <c r="O27" s="7"/>
      <c r="P27" s="6"/>
      <c r="Q27" s="6"/>
    </row>
    <row r="28" spans="1:17" ht="21.95" customHeight="1">
      <c r="A28" s="6" t="str">
        <f>"REQ-00" &amp; TEXT(ROW() - ROW(tblRequirements[[#Headers],[Requirement ID]]), "0;-0")</f>
        <v>REQ-0024</v>
      </c>
      <c r="B28" s="7"/>
      <c r="C28" s="6"/>
      <c r="D28" s="6"/>
      <c r="E28" s="6"/>
      <c r="F28" s="6"/>
      <c r="G28" s="6"/>
      <c r="H28" s="6"/>
      <c r="I28" s="6"/>
      <c r="J28" s="6"/>
      <c r="K28" s="6"/>
      <c r="L28" s="6"/>
      <c r="M28" s="6"/>
      <c r="N28" s="6"/>
      <c r="O28" s="7"/>
      <c r="P28" s="6"/>
      <c r="Q28" s="6"/>
    </row>
    <row r="29" spans="1:17" ht="21.95" customHeight="1">
      <c r="A29" s="6" t="str">
        <f>"REQ-00" &amp; TEXT(ROW() - ROW(tblRequirements[[#Headers],[Requirement ID]]), "0;-0")</f>
        <v>REQ-0025</v>
      </c>
      <c r="B29" s="7"/>
      <c r="C29" s="6"/>
      <c r="D29" s="6"/>
      <c r="E29" s="6"/>
      <c r="F29" s="6"/>
      <c r="G29" s="6"/>
      <c r="H29" s="6"/>
      <c r="I29" s="6"/>
      <c r="J29" s="6"/>
      <c r="K29" s="6"/>
      <c r="L29" s="6"/>
      <c r="M29" s="6"/>
      <c r="N29" s="6"/>
      <c r="O29" s="7"/>
      <c r="P29" s="6"/>
      <c r="Q29" s="6"/>
    </row>
    <row r="30" spans="1:17" ht="21.95" customHeight="1">
      <c r="A30" s="6" t="str">
        <f>"REQ-00" &amp; TEXT(ROW() - ROW(tblRequirements[[#Headers],[Requirement ID]]), "0;-0")</f>
        <v>REQ-0026</v>
      </c>
      <c r="B30" s="7"/>
      <c r="C30" s="6"/>
      <c r="D30" s="6"/>
      <c r="E30" s="6"/>
      <c r="F30" s="6"/>
      <c r="G30" s="6"/>
      <c r="H30" s="6"/>
      <c r="I30" s="6"/>
      <c r="J30" s="6"/>
      <c r="K30" s="6"/>
      <c r="L30" s="6"/>
      <c r="M30" s="6"/>
      <c r="N30" s="6"/>
      <c r="O30" s="7"/>
      <c r="P30" s="6"/>
      <c r="Q30" s="6"/>
    </row>
    <row r="31" spans="1:17" ht="21.95" customHeight="1">
      <c r="A31" s="6" t="str">
        <f>"REQ-00" &amp; TEXT(ROW() - ROW(tblRequirements[[#Headers],[Requirement ID]]), "0;-0")</f>
        <v>REQ-0027</v>
      </c>
      <c r="B31" s="7"/>
      <c r="C31" s="6"/>
      <c r="D31" s="6"/>
      <c r="E31" s="6"/>
      <c r="F31" s="6"/>
      <c r="G31" s="6"/>
      <c r="H31" s="6"/>
      <c r="I31" s="6"/>
      <c r="J31" s="6"/>
      <c r="K31" s="6"/>
      <c r="L31" s="6"/>
      <c r="M31" s="6"/>
      <c r="N31" s="6"/>
      <c r="O31" s="7"/>
      <c r="P31" s="6"/>
      <c r="Q31" s="6"/>
    </row>
    <row r="32" spans="1:17" ht="21.95" customHeight="1">
      <c r="A32" s="6" t="str">
        <f>"REQ-00" &amp; TEXT(ROW() - ROW(tblRequirements[[#Headers],[Requirement ID]]), "0;-0")</f>
        <v>REQ-0028</v>
      </c>
      <c r="B32" s="7"/>
      <c r="C32" s="6"/>
      <c r="D32" s="6"/>
      <c r="E32" s="6"/>
      <c r="F32" s="6"/>
      <c r="G32" s="6"/>
      <c r="H32" s="6"/>
      <c r="I32" s="6"/>
      <c r="J32" s="6"/>
      <c r="K32" s="6"/>
      <c r="L32" s="6"/>
      <c r="M32" s="6"/>
      <c r="N32" s="6"/>
      <c r="O32" s="7"/>
      <c r="P32" s="6"/>
      <c r="Q32" s="6"/>
    </row>
    <row r="33" spans="1:17" ht="21.95" customHeight="1">
      <c r="A33" s="6" t="str">
        <f>"REQ-00" &amp; TEXT(ROW() - ROW(tblRequirements[[#Headers],[Requirement ID]]), "0;-0")</f>
        <v>REQ-0029</v>
      </c>
      <c r="B33" s="7"/>
      <c r="C33" s="6"/>
      <c r="D33" s="6"/>
      <c r="E33" s="6"/>
      <c r="F33" s="6"/>
      <c r="G33" s="6"/>
      <c r="H33" s="6"/>
      <c r="I33" s="6"/>
      <c r="J33" s="6"/>
      <c r="K33" s="6"/>
      <c r="L33" s="6"/>
      <c r="M33" s="6"/>
      <c r="N33" s="6"/>
      <c r="O33" s="7"/>
      <c r="P33" s="6"/>
      <c r="Q33" s="6"/>
    </row>
    <row r="34" spans="1:17" ht="21.95" customHeight="1">
      <c r="A34" s="6" t="str">
        <f>"REQ-00" &amp; TEXT(ROW() - ROW(tblRequirements[[#Headers],[Requirement ID]]), "0;-0")</f>
        <v>REQ-0030</v>
      </c>
      <c r="B34" s="7"/>
      <c r="C34" s="6"/>
      <c r="D34" s="6"/>
      <c r="E34" s="6"/>
      <c r="F34" s="6"/>
      <c r="G34" s="6"/>
      <c r="H34" s="6"/>
      <c r="I34" s="6"/>
      <c r="J34" s="6"/>
      <c r="K34" s="6"/>
      <c r="L34" s="6"/>
      <c r="M34" s="6"/>
      <c r="N34" s="6"/>
      <c r="O34" s="7"/>
      <c r="P34" s="6"/>
      <c r="Q34" s="6"/>
    </row>
    <row r="35" spans="1:17" ht="21.95" customHeight="1">
      <c r="A35" s="6" t="str">
        <f>"REQ-00" &amp; TEXT(ROW() - ROW(tblRequirements[[#Headers],[Requirement ID]]), "0;-0")</f>
        <v>REQ-0031</v>
      </c>
      <c r="B35" s="7"/>
      <c r="C35" s="6"/>
      <c r="D35" s="6"/>
      <c r="E35" s="6"/>
      <c r="F35" s="6"/>
      <c r="G35" s="6"/>
      <c r="H35" s="6"/>
      <c r="I35" s="6"/>
      <c r="J35" s="6"/>
      <c r="K35" s="6"/>
      <c r="L35" s="6"/>
      <c r="M35" s="6"/>
      <c r="N35" s="6"/>
      <c r="O35" s="7"/>
      <c r="P35" s="6"/>
      <c r="Q35" s="6"/>
    </row>
    <row r="36" spans="1:17" ht="21.95" customHeight="1">
      <c r="A36" s="6" t="str">
        <f>"REQ-00" &amp; TEXT(ROW() - ROW(tblRequirements[[#Headers],[Requirement ID]]), "0;-0")</f>
        <v>REQ-0032</v>
      </c>
      <c r="B36" s="7"/>
      <c r="C36" s="6"/>
      <c r="D36" s="6"/>
      <c r="E36" s="6"/>
      <c r="F36" s="6"/>
      <c r="G36" s="6"/>
      <c r="H36" s="6"/>
      <c r="I36" s="6"/>
      <c r="J36" s="6"/>
      <c r="K36" s="6"/>
      <c r="L36" s="6"/>
      <c r="M36" s="6"/>
      <c r="N36" s="6"/>
      <c r="O36" s="7"/>
      <c r="P36" s="6"/>
      <c r="Q36" s="6"/>
    </row>
    <row r="37" spans="1:17" ht="21.95" customHeight="1">
      <c r="A37" s="6" t="str">
        <f>"REQ-00" &amp; TEXT(ROW() - ROW(tblRequirements[[#Headers],[Requirement ID]]), "0;-0")</f>
        <v>REQ-0033</v>
      </c>
      <c r="B37" s="7"/>
      <c r="C37" s="6"/>
      <c r="D37" s="6"/>
      <c r="E37" s="6"/>
      <c r="F37" s="6"/>
      <c r="G37" s="6"/>
      <c r="H37" s="6"/>
      <c r="I37" s="6"/>
      <c r="J37" s="6"/>
      <c r="K37" s="6"/>
      <c r="L37" s="6"/>
      <c r="M37" s="6"/>
      <c r="N37" s="6"/>
      <c r="O37" s="7"/>
      <c r="P37" s="6"/>
      <c r="Q37" s="6"/>
    </row>
    <row r="38" spans="1:17" ht="21.95" customHeight="1">
      <c r="A38" s="6" t="str">
        <f>"REQ-00" &amp; TEXT(ROW() - ROW(tblRequirements[[#Headers],[Requirement ID]]), "0;-0")</f>
        <v>REQ-0034</v>
      </c>
      <c r="B38" s="7"/>
      <c r="C38" s="6"/>
      <c r="D38" s="6"/>
      <c r="E38" s="6"/>
      <c r="F38" s="6"/>
      <c r="G38" s="6"/>
      <c r="H38" s="6"/>
      <c r="I38" s="6"/>
      <c r="J38" s="6"/>
      <c r="K38" s="6"/>
      <c r="L38" s="6"/>
      <c r="M38" s="6"/>
      <c r="N38" s="6"/>
      <c r="O38" s="7"/>
      <c r="P38" s="6"/>
      <c r="Q38" s="6"/>
    </row>
    <row r="39" spans="1:17" ht="21.95" customHeight="1">
      <c r="A39" s="6" t="str">
        <f>"REQ-00" &amp; TEXT(ROW() - ROW(tblRequirements[[#Headers],[Requirement ID]]), "0;-0")</f>
        <v>REQ-0035</v>
      </c>
      <c r="B39" s="7"/>
      <c r="C39" s="6"/>
      <c r="D39" s="6"/>
      <c r="E39" s="6"/>
      <c r="F39" s="6"/>
      <c r="G39" s="6"/>
      <c r="H39" s="6"/>
      <c r="I39" s="6"/>
      <c r="J39" s="6"/>
      <c r="K39" s="6"/>
      <c r="L39" s="6"/>
      <c r="M39" s="6"/>
      <c r="N39" s="6"/>
      <c r="O39" s="7"/>
      <c r="P39" s="6"/>
      <c r="Q39" s="6"/>
    </row>
    <row r="40" spans="1:17" ht="21.95" customHeight="1">
      <c r="A40" s="6" t="str">
        <f>"REQ-00" &amp; TEXT(ROW() - ROW(tblRequirements[[#Headers],[Requirement ID]]), "0;-0")</f>
        <v>REQ-0036</v>
      </c>
      <c r="B40" s="7"/>
      <c r="C40" s="6"/>
      <c r="D40" s="6"/>
      <c r="E40" s="6"/>
      <c r="F40" s="6"/>
      <c r="G40" s="6"/>
      <c r="H40" s="6"/>
      <c r="I40" s="6"/>
      <c r="J40" s="6"/>
      <c r="K40" s="6"/>
      <c r="L40" s="6"/>
      <c r="M40" s="6"/>
      <c r="N40" s="6"/>
      <c r="O40" s="7"/>
      <c r="P40" s="6"/>
      <c r="Q40" s="6"/>
    </row>
    <row r="41" spans="1:17" ht="21.95" customHeight="1">
      <c r="A41" s="6" t="str">
        <f>"REQ-00" &amp; TEXT(ROW() - ROW(tblRequirements[[#Headers],[Requirement ID]]), "0;-0")</f>
        <v>REQ-0037</v>
      </c>
      <c r="B41" s="7"/>
      <c r="C41" s="6"/>
      <c r="D41" s="6"/>
      <c r="E41" s="6"/>
      <c r="F41" s="6"/>
      <c r="G41" s="6"/>
      <c r="H41" s="6"/>
      <c r="I41" s="6"/>
      <c r="J41" s="6"/>
      <c r="K41" s="6"/>
      <c r="L41" s="6"/>
      <c r="M41" s="6"/>
      <c r="N41" s="6"/>
      <c r="O41" s="7"/>
      <c r="P41" s="6"/>
      <c r="Q41" s="6"/>
    </row>
    <row r="42" spans="1:17" ht="21.95" customHeight="1">
      <c r="A42" s="6" t="str">
        <f>"REQ-00" &amp; TEXT(ROW() - ROW(tblRequirements[[#Headers],[Requirement ID]]), "0;-0")</f>
        <v>REQ-0038</v>
      </c>
      <c r="B42" s="7"/>
      <c r="C42" s="6"/>
      <c r="D42" s="6"/>
      <c r="E42" s="6"/>
      <c r="F42" s="6"/>
      <c r="G42" s="6"/>
      <c r="H42" s="6"/>
      <c r="I42" s="6"/>
      <c r="J42" s="6"/>
      <c r="K42" s="6"/>
      <c r="L42" s="6"/>
      <c r="M42" s="6"/>
      <c r="N42" s="6"/>
      <c r="O42" s="7"/>
      <c r="P42" s="6"/>
      <c r="Q42" s="6"/>
    </row>
    <row r="43" spans="1:17" ht="21.95" customHeight="1">
      <c r="A43" s="6" t="str">
        <f>"REQ-00" &amp; TEXT(ROW() - ROW(tblRequirements[[#Headers],[Requirement ID]]), "0;-0")</f>
        <v>REQ-0039</v>
      </c>
      <c r="B43" s="7"/>
      <c r="C43" s="6"/>
      <c r="D43" s="6"/>
      <c r="E43" s="6"/>
      <c r="F43" s="6"/>
      <c r="G43" s="6"/>
      <c r="H43" s="6"/>
      <c r="I43" s="6"/>
      <c r="J43" s="6"/>
      <c r="K43" s="6"/>
      <c r="L43" s="6"/>
      <c r="M43" s="6"/>
      <c r="N43" s="6"/>
      <c r="O43" s="7"/>
      <c r="P43" s="6"/>
      <c r="Q43" s="6"/>
    </row>
    <row r="44" spans="1:17" ht="21.95" customHeight="1">
      <c r="A44" s="6" t="str">
        <f>"REQ-00" &amp; TEXT(ROW() - ROW(tblRequirements[[#Headers],[Requirement ID]]), "0;-0")</f>
        <v>REQ-0040</v>
      </c>
      <c r="B44" s="7"/>
      <c r="C44" s="6"/>
      <c r="D44" s="6"/>
      <c r="E44" s="6"/>
      <c r="F44" s="6"/>
      <c r="G44" s="6"/>
      <c r="H44" s="6"/>
      <c r="I44" s="6"/>
      <c r="J44" s="6"/>
      <c r="K44" s="6"/>
      <c r="L44" s="6"/>
      <c r="M44" s="6"/>
      <c r="N44" s="6"/>
      <c r="O44" s="7"/>
      <c r="P44" s="6"/>
      <c r="Q44" s="6"/>
    </row>
    <row r="45" spans="1:17" ht="21.95" customHeight="1">
      <c r="A45" s="6" t="str">
        <f>"REQ-00" &amp; TEXT(ROW() - ROW(tblRequirements[[#Headers],[Requirement ID]]), "0;-0")</f>
        <v>REQ-0041</v>
      </c>
      <c r="B45" s="7"/>
      <c r="C45" s="6"/>
      <c r="D45" s="6"/>
      <c r="E45" s="6"/>
      <c r="F45" s="6"/>
      <c r="G45" s="6"/>
      <c r="H45" s="6"/>
      <c r="I45" s="6"/>
      <c r="J45" s="6"/>
      <c r="K45" s="6"/>
      <c r="L45" s="6"/>
      <c r="M45" s="6"/>
      <c r="N45" s="6"/>
      <c r="O45" s="7"/>
      <c r="P45" s="6"/>
      <c r="Q45" s="6"/>
    </row>
    <row r="46" spans="1:17" ht="21.95" customHeight="1">
      <c r="A46" s="6" t="str">
        <f>"REQ-00" &amp; TEXT(ROW() - ROW(tblRequirements[[#Headers],[Requirement ID]]), "0;-0")</f>
        <v>REQ-0042</v>
      </c>
      <c r="B46" s="7"/>
      <c r="C46" s="6"/>
      <c r="D46" s="6"/>
      <c r="E46" s="6"/>
      <c r="F46" s="6"/>
      <c r="G46" s="6"/>
      <c r="H46" s="6"/>
      <c r="I46" s="6"/>
      <c r="J46" s="6"/>
      <c r="K46" s="6"/>
      <c r="L46" s="6"/>
      <c r="M46" s="6"/>
      <c r="N46" s="6"/>
      <c r="O46" s="7"/>
      <c r="P46" s="6"/>
      <c r="Q46" s="6"/>
    </row>
    <row r="47" spans="1:17" ht="21.95" customHeight="1">
      <c r="A47" s="6" t="str">
        <f>"REQ-00" &amp; TEXT(ROW() - ROW(tblRequirements[[#Headers],[Requirement ID]]), "0;-0")</f>
        <v>REQ-0043</v>
      </c>
      <c r="B47" s="7"/>
      <c r="C47" s="6"/>
      <c r="D47" s="6"/>
      <c r="E47" s="6"/>
      <c r="F47" s="6"/>
      <c r="G47" s="6"/>
      <c r="H47" s="6"/>
      <c r="I47" s="6"/>
      <c r="J47" s="6"/>
      <c r="K47" s="6"/>
      <c r="L47" s="6"/>
      <c r="M47" s="6"/>
      <c r="N47" s="6"/>
      <c r="O47" s="7"/>
      <c r="P47" s="6"/>
      <c r="Q47" s="6"/>
    </row>
    <row r="48" spans="1:17" ht="21.95" customHeight="1">
      <c r="A48" s="6" t="str">
        <f>"REQ-00" &amp; TEXT(ROW() - ROW(tblRequirements[[#Headers],[Requirement ID]]), "0;-0")</f>
        <v>REQ-0044</v>
      </c>
      <c r="B48" s="7"/>
      <c r="C48" s="6"/>
      <c r="D48" s="6"/>
      <c r="E48" s="6"/>
      <c r="F48" s="6"/>
      <c r="G48" s="6"/>
      <c r="H48" s="6"/>
      <c r="I48" s="6"/>
      <c r="J48" s="6"/>
      <c r="K48" s="6"/>
      <c r="L48" s="6"/>
      <c r="M48" s="6"/>
      <c r="N48" s="6"/>
      <c r="O48" s="7"/>
      <c r="P48" s="6"/>
      <c r="Q48" s="6"/>
    </row>
    <row r="49" spans="1:17" ht="21.95" customHeight="1">
      <c r="A49" s="6" t="str">
        <f>"REQ-00" &amp; TEXT(ROW() - ROW(tblRequirements[[#Headers],[Requirement ID]]), "0;-0")</f>
        <v>REQ-0045</v>
      </c>
      <c r="B49" s="7"/>
      <c r="C49" s="6"/>
      <c r="D49" s="6"/>
      <c r="E49" s="6"/>
      <c r="F49" s="6"/>
      <c r="G49" s="6"/>
      <c r="H49" s="6"/>
      <c r="I49" s="6"/>
      <c r="J49" s="6"/>
      <c r="K49" s="6"/>
      <c r="L49" s="6"/>
      <c r="M49" s="6"/>
      <c r="N49" s="6"/>
      <c r="O49" s="7"/>
      <c r="P49" s="6"/>
      <c r="Q49" s="6"/>
    </row>
    <row r="50" spans="1:17" ht="21.95" customHeight="1">
      <c r="A50" s="6" t="str">
        <f>"REQ-00" &amp; TEXT(ROW() - ROW(tblRequirements[[#Headers],[Requirement ID]]), "0;-0")</f>
        <v>REQ-0046</v>
      </c>
      <c r="B50" s="7"/>
      <c r="C50" s="6"/>
      <c r="D50" s="6"/>
      <c r="E50" s="6"/>
      <c r="F50" s="6"/>
      <c r="G50" s="6"/>
      <c r="H50" s="6"/>
      <c r="I50" s="6"/>
      <c r="J50" s="6"/>
      <c r="K50" s="6"/>
      <c r="L50" s="6"/>
      <c r="M50" s="6"/>
      <c r="N50" s="6"/>
      <c r="O50" s="7"/>
      <c r="P50" s="6"/>
      <c r="Q50" s="6"/>
    </row>
    <row r="51" spans="1:17" ht="21.95" customHeight="1">
      <c r="A51" s="6" t="str">
        <f>"REQ-00" &amp; TEXT(ROW() - ROW(tblRequirements[[#Headers],[Requirement ID]]), "0;-0")</f>
        <v>REQ-0047</v>
      </c>
      <c r="B51" s="7"/>
      <c r="C51" s="6"/>
      <c r="D51" s="6"/>
      <c r="E51" s="6"/>
      <c r="F51" s="6"/>
      <c r="G51" s="6"/>
      <c r="H51" s="6"/>
      <c r="I51" s="6"/>
      <c r="J51" s="6"/>
      <c r="K51" s="6"/>
      <c r="L51" s="6"/>
      <c r="M51" s="6"/>
      <c r="N51" s="6"/>
      <c r="O51" s="7"/>
      <c r="P51" s="6"/>
      <c r="Q51" s="6"/>
    </row>
    <row r="52" spans="1:17" ht="21.95" customHeight="1">
      <c r="A52" s="6" t="str">
        <f>"REQ-00" &amp; TEXT(ROW() - ROW(tblRequirements[[#Headers],[Requirement ID]]), "0;-0")</f>
        <v>REQ-0048</v>
      </c>
      <c r="B52" s="7"/>
      <c r="C52" s="6"/>
      <c r="D52" s="6"/>
      <c r="E52" s="6"/>
      <c r="F52" s="6"/>
      <c r="G52" s="6"/>
      <c r="H52" s="6"/>
      <c r="I52" s="6"/>
      <c r="J52" s="6"/>
      <c r="K52" s="6"/>
      <c r="L52" s="6"/>
      <c r="M52" s="6"/>
      <c r="N52" s="6"/>
      <c r="O52" s="7"/>
      <c r="P52" s="6"/>
      <c r="Q52" s="6"/>
    </row>
    <row r="53" spans="1:17" ht="21.95" customHeight="1">
      <c r="A53" s="6" t="str">
        <f>"REQ-00" &amp; TEXT(ROW() - ROW(tblRequirements[[#Headers],[Requirement ID]]), "0;-0")</f>
        <v>REQ-0049</v>
      </c>
      <c r="B53" s="7"/>
      <c r="C53" s="6"/>
      <c r="D53" s="6"/>
      <c r="E53" s="6"/>
      <c r="F53" s="6"/>
      <c r="G53" s="6"/>
      <c r="H53" s="6"/>
      <c r="I53" s="6"/>
      <c r="J53" s="6"/>
      <c r="K53" s="6"/>
      <c r="L53" s="6"/>
      <c r="M53" s="6"/>
      <c r="N53" s="6"/>
      <c r="O53" s="7"/>
      <c r="P53" s="6"/>
      <c r="Q53" s="6"/>
    </row>
    <row r="54" spans="1:17" ht="21.95" customHeight="1">
      <c r="A54" s="6" t="str">
        <f>"REQ-00" &amp; TEXT(ROW() - ROW(tblRequirements[[#Headers],[Requirement ID]]), "0;-0")</f>
        <v>REQ-0050</v>
      </c>
      <c r="B54" s="7"/>
      <c r="C54" s="6"/>
      <c r="D54" s="6"/>
      <c r="E54" s="6"/>
      <c r="F54" s="6"/>
      <c r="G54" s="6"/>
      <c r="H54" s="6"/>
      <c r="I54" s="6"/>
      <c r="J54" s="6"/>
      <c r="K54" s="6"/>
      <c r="L54" s="6"/>
      <c r="M54" s="6"/>
      <c r="N54" s="6"/>
      <c r="O54" s="7"/>
      <c r="P54" s="6"/>
      <c r="Q54" s="6"/>
    </row>
    <row r="55" spans="1:17" ht="21.95" customHeight="1">
      <c r="A55" s="6" t="str">
        <f>"REQ-00" &amp; TEXT(ROW() - ROW(tblRequirements[[#Headers],[Requirement ID]]), "0;-0")</f>
        <v>REQ-0051</v>
      </c>
      <c r="B55" s="7"/>
      <c r="C55" s="6"/>
      <c r="D55" s="6"/>
      <c r="E55" s="6"/>
      <c r="F55" s="6"/>
      <c r="G55" s="6"/>
      <c r="H55" s="6"/>
      <c r="I55" s="6"/>
      <c r="J55" s="6"/>
      <c r="K55" s="6"/>
      <c r="L55" s="6"/>
      <c r="M55" s="6"/>
      <c r="N55" s="6"/>
      <c r="O55" s="7"/>
      <c r="P55" s="6"/>
      <c r="Q55" s="6"/>
    </row>
    <row r="56" spans="1:17" ht="21.95" customHeight="1">
      <c r="A56" s="6" t="str">
        <f>"REQ-00" &amp; TEXT(ROW() - ROW(tblRequirements[[#Headers],[Requirement ID]]), "0;-0")</f>
        <v>REQ-0052</v>
      </c>
      <c r="B56" s="7"/>
      <c r="C56" s="6"/>
      <c r="D56" s="6"/>
      <c r="E56" s="6"/>
      <c r="F56" s="6"/>
      <c r="G56" s="6"/>
      <c r="H56" s="6"/>
      <c r="I56" s="6"/>
      <c r="J56" s="6"/>
      <c r="K56" s="6"/>
      <c r="L56" s="6"/>
      <c r="M56" s="6"/>
      <c r="N56" s="6"/>
      <c r="O56" s="7"/>
      <c r="P56" s="6"/>
      <c r="Q56" s="6"/>
    </row>
    <row r="57" spans="1:17" ht="21.95" customHeight="1">
      <c r="A57" s="6" t="str">
        <f>"REQ-00" &amp; TEXT(ROW() - ROW(tblRequirements[[#Headers],[Requirement ID]]), "0;-0")</f>
        <v>REQ-0053</v>
      </c>
      <c r="B57" s="7"/>
      <c r="C57" s="6"/>
      <c r="D57" s="6"/>
      <c r="E57" s="6"/>
      <c r="F57" s="6"/>
      <c r="G57" s="6"/>
      <c r="H57" s="6"/>
      <c r="I57" s="6"/>
      <c r="J57" s="6"/>
      <c r="K57" s="6"/>
      <c r="L57" s="6"/>
      <c r="M57" s="6"/>
      <c r="N57" s="6"/>
      <c r="O57" s="7"/>
      <c r="P57" s="6"/>
      <c r="Q57" s="6"/>
    </row>
    <row r="58" spans="1:17" ht="21.95" customHeight="1">
      <c r="A58" s="6" t="str">
        <f>"REQ-00" &amp; TEXT(ROW() - ROW(tblRequirements[[#Headers],[Requirement ID]]), "0;-0")</f>
        <v>REQ-0054</v>
      </c>
      <c r="B58" s="7"/>
      <c r="C58" s="6"/>
      <c r="D58" s="6"/>
      <c r="E58" s="6"/>
      <c r="F58" s="6"/>
      <c r="G58" s="6"/>
      <c r="H58" s="6"/>
      <c r="I58" s="6"/>
      <c r="J58" s="6"/>
      <c r="K58" s="6"/>
      <c r="L58" s="6"/>
      <c r="M58" s="6"/>
      <c r="N58" s="6"/>
      <c r="O58" s="7"/>
      <c r="P58" s="6"/>
      <c r="Q58" s="6"/>
    </row>
    <row r="59" spans="1:17" ht="21.95" customHeight="1">
      <c r="A59" s="6" t="str">
        <f>"REQ-00" &amp; TEXT(ROW() - ROW(tblRequirements[[#Headers],[Requirement ID]]), "0;-0")</f>
        <v>REQ-0055</v>
      </c>
      <c r="B59" s="7"/>
      <c r="C59" s="6"/>
      <c r="D59" s="6"/>
      <c r="E59" s="6"/>
      <c r="F59" s="6"/>
      <c r="G59" s="6"/>
      <c r="H59" s="6"/>
      <c r="I59" s="6"/>
      <c r="J59" s="6"/>
      <c r="K59" s="6"/>
      <c r="L59" s="6"/>
      <c r="M59" s="6"/>
      <c r="N59" s="6"/>
      <c r="O59" s="7"/>
      <c r="P59" s="6"/>
      <c r="Q59" s="6"/>
    </row>
    <row r="60" spans="1:17" ht="21.95" customHeight="1">
      <c r="A60" s="6" t="str">
        <f>"REQ-00" &amp; TEXT(ROW() - ROW(tblRequirements[[#Headers],[Requirement ID]]), "0;-0")</f>
        <v>REQ-0056</v>
      </c>
      <c r="B60" s="7"/>
      <c r="C60" s="6"/>
      <c r="D60" s="6"/>
      <c r="E60" s="6"/>
      <c r="F60" s="6"/>
      <c r="G60" s="6"/>
      <c r="H60" s="6"/>
      <c r="I60" s="6"/>
      <c r="J60" s="6"/>
      <c r="K60" s="6"/>
      <c r="L60" s="6"/>
      <c r="M60" s="6"/>
      <c r="N60" s="6"/>
      <c r="O60" s="7"/>
      <c r="P60" s="6"/>
      <c r="Q60" s="6"/>
    </row>
    <row r="61" spans="1:17">
      <c r="A61" s="6" t="str">
        <f>"REQ-00" &amp; TEXT(ROW() - ROW(tblRequirements[[#Headers],[Requirement ID]]), "0;-0")</f>
        <v>REQ-0057</v>
      </c>
      <c r="B61" s="7"/>
      <c r="C61" s="6"/>
      <c r="D61" s="6"/>
      <c r="E61" s="6"/>
      <c r="F61" s="6"/>
      <c r="G61" s="6"/>
      <c r="H61" s="6"/>
      <c r="I61" s="6"/>
      <c r="J61" s="6"/>
      <c r="K61" s="6"/>
      <c r="L61" s="6"/>
      <c r="M61" s="6"/>
      <c r="N61" s="6"/>
      <c r="O61" s="7"/>
      <c r="P61" s="6"/>
      <c r="Q61" s="6"/>
    </row>
    <row r="62" spans="1:17">
      <c r="A62" s="6" t="str">
        <f>"REQ-00" &amp; TEXT(ROW() - ROW(tblRequirements[[#Headers],[Requirement ID]]), "0;-0")</f>
        <v>REQ-0058</v>
      </c>
      <c r="B62" s="7"/>
      <c r="C62" s="6"/>
      <c r="D62" s="6"/>
      <c r="E62" s="6"/>
      <c r="F62" s="6"/>
      <c r="G62" s="6"/>
      <c r="H62" s="6"/>
      <c r="I62" s="6"/>
      <c r="J62" s="6"/>
      <c r="K62" s="6"/>
      <c r="L62" s="6"/>
      <c r="M62" s="6"/>
      <c r="N62" s="6"/>
      <c r="O62" s="7"/>
      <c r="P62" s="6"/>
      <c r="Q62" s="6"/>
    </row>
    <row r="63" spans="1:17">
      <c r="A63" s="6" t="str">
        <f>"REQ-00" &amp; TEXT(ROW() - ROW(tblRequirements[[#Headers],[Requirement ID]]), "0;-0")</f>
        <v>REQ-0059</v>
      </c>
      <c r="B63" s="7"/>
      <c r="C63" s="6"/>
      <c r="D63" s="6"/>
      <c r="E63" s="6"/>
      <c r="F63" s="6"/>
      <c r="G63" s="6"/>
      <c r="H63" s="6"/>
      <c r="I63" s="6"/>
      <c r="J63" s="6"/>
      <c r="K63" s="6"/>
      <c r="L63" s="6"/>
      <c r="M63" s="6"/>
      <c r="N63" s="6"/>
      <c r="O63" s="7"/>
      <c r="P63" s="6"/>
      <c r="Q63" s="6"/>
    </row>
    <row r="64" spans="1:17">
      <c r="A64" s="6" t="str">
        <f>"REQ-00" &amp; TEXT(ROW() - ROW(tblRequirements[[#Headers],[Requirement ID]]), "0;-0")</f>
        <v>REQ-0060</v>
      </c>
      <c r="B64" s="7"/>
      <c r="C64" s="6"/>
      <c r="D64" s="6"/>
      <c r="E64" s="6"/>
      <c r="F64" s="6"/>
      <c r="G64" s="6"/>
      <c r="H64" s="6"/>
      <c r="I64" s="6"/>
      <c r="J64" s="6"/>
      <c r="K64" s="6"/>
      <c r="L64" s="6"/>
      <c r="M64" s="6"/>
      <c r="N64" s="6"/>
      <c r="O64" s="7"/>
      <c r="P64" s="6"/>
      <c r="Q64" s="6"/>
    </row>
    <row r="65" spans="1:17">
      <c r="A65" s="6" t="str">
        <f>"REQ-00" &amp; TEXT(ROW() - ROW(tblRequirements[[#Headers],[Requirement ID]]), "0;-0")</f>
        <v>REQ-0061</v>
      </c>
      <c r="B65" s="7"/>
      <c r="C65" s="6"/>
      <c r="D65" s="6"/>
      <c r="E65" s="6"/>
      <c r="F65" s="6"/>
      <c r="G65" s="6"/>
      <c r="H65" s="6"/>
      <c r="I65" s="6"/>
      <c r="J65" s="6"/>
      <c r="K65" s="6"/>
      <c r="L65" s="6"/>
      <c r="M65" s="6"/>
      <c r="N65" s="6"/>
      <c r="O65" s="7"/>
      <c r="P65" s="6"/>
      <c r="Q65" s="6"/>
    </row>
    <row r="66" spans="1:17">
      <c r="A66" s="6" t="str">
        <f>"REQ-00" &amp; TEXT(ROW() - ROW(tblRequirements[[#Headers],[Requirement ID]]), "0;-0")</f>
        <v>REQ-0062</v>
      </c>
      <c r="B66" s="7"/>
      <c r="C66" s="6"/>
      <c r="D66" s="6"/>
      <c r="E66" s="6"/>
      <c r="F66" s="6"/>
      <c r="G66" s="6"/>
      <c r="H66" s="6"/>
      <c r="I66" s="6"/>
      <c r="J66" s="6"/>
      <c r="K66" s="6"/>
      <c r="L66" s="6"/>
      <c r="M66" s="6"/>
      <c r="N66" s="6"/>
      <c r="O66" s="7"/>
      <c r="P66" s="6"/>
      <c r="Q66" s="6"/>
    </row>
    <row r="67" spans="1:17">
      <c r="A67" s="6" t="str">
        <f>"REQ-00" &amp; TEXT(ROW() - ROW(tblRequirements[[#Headers],[Requirement ID]]), "0;-0")</f>
        <v>REQ-0063</v>
      </c>
      <c r="B67" s="7"/>
      <c r="C67" s="6"/>
      <c r="D67" s="6"/>
      <c r="E67" s="6"/>
      <c r="F67" s="6"/>
      <c r="G67" s="6"/>
      <c r="H67" s="6"/>
      <c r="I67" s="6"/>
      <c r="J67" s="6"/>
      <c r="K67" s="6"/>
      <c r="L67" s="6"/>
      <c r="M67" s="6"/>
      <c r="N67" s="6"/>
      <c r="O67" s="7"/>
      <c r="P67" s="6"/>
      <c r="Q67" s="6"/>
    </row>
    <row r="68" spans="1:17">
      <c r="A68" s="6" t="str">
        <f>"REQ-00" &amp; TEXT(ROW() - ROW(tblRequirements[[#Headers],[Requirement ID]]), "0;-0")</f>
        <v>REQ-0064</v>
      </c>
      <c r="B68" s="7"/>
      <c r="C68" s="6"/>
      <c r="D68" s="6"/>
      <c r="E68" s="6"/>
      <c r="F68" s="6"/>
      <c r="G68" s="6"/>
      <c r="H68" s="6"/>
      <c r="I68" s="6"/>
      <c r="J68" s="6"/>
      <c r="K68" s="6"/>
      <c r="L68" s="6"/>
      <c r="M68" s="6"/>
      <c r="N68" s="6"/>
      <c r="O68" s="7"/>
      <c r="P68" s="6"/>
      <c r="Q68" s="6"/>
    </row>
    <row r="69" spans="1:17">
      <c r="A69" s="6" t="str">
        <f>"REQ-00" &amp; TEXT(ROW() - ROW(tblRequirements[[#Headers],[Requirement ID]]), "0;-0")</f>
        <v>REQ-0065</v>
      </c>
      <c r="B69" s="7"/>
      <c r="C69" s="6"/>
      <c r="D69" s="6"/>
      <c r="E69" s="6"/>
      <c r="F69" s="6"/>
      <c r="G69" s="6"/>
      <c r="H69" s="6"/>
      <c r="I69" s="6"/>
      <c r="J69" s="6"/>
      <c r="K69" s="6"/>
      <c r="L69" s="6"/>
      <c r="M69" s="6"/>
      <c r="N69" s="6"/>
      <c r="O69" s="7"/>
      <c r="P69" s="6"/>
      <c r="Q69" s="6"/>
    </row>
    <row r="70" spans="1:17">
      <c r="A70" s="6" t="str">
        <f>"REQ-00" &amp; TEXT(ROW() - ROW(tblRequirements[[#Headers],[Requirement ID]]), "0;-0")</f>
        <v>REQ-0066</v>
      </c>
      <c r="B70" s="7"/>
      <c r="C70" s="6"/>
      <c r="D70" s="6"/>
      <c r="E70" s="6"/>
      <c r="F70" s="6"/>
      <c r="G70" s="6"/>
      <c r="H70" s="6"/>
      <c r="I70" s="6"/>
      <c r="J70" s="6"/>
      <c r="K70" s="6"/>
      <c r="L70" s="6"/>
      <c r="M70" s="6"/>
      <c r="N70" s="6"/>
      <c r="O70" s="7"/>
      <c r="P70" s="6"/>
      <c r="Q70" s="6"/>
    </row>
    <row r="71" spans="1:17">
      <c r="A71" s="6" t="str">
        <f>"REQ-00" &amp; TEXT(ROW() - ROW(tblRequirements[[#Headers],[Requirement ID]]), "0;-0")</f>
        <v>REQ-0067</v>
      </c>
      <c r="B71" s="7"/>
      <c r="C71" s="6"/>
      <c r="D71" s="6"/>
      <c r="E71" s="6"/>
      <c r="F71" s="6"/>
      <c r="G71" s="6"/>
      <c r="H71" s="6"/>
      <c r="I71" s="6"/>
      <c r="J71" s="6"/>
      <c r="K71" s="6"/>
      <c r="L71" s="6"/>
      <c r="M71" s="6"/>
      <c r="N71" s="6"/>
      <c r="O71" s="7"/>
      <c r="P71" s="6"/>
      <c r="Q71" s="6"/>
    </row>
    <row r="72" spans="1:17">
      <c r="A72" s="6" t="str">
        <f>"REQ-00" &amp; TEXT(ROW() - ROW(tblRequirements[[#Headers],[Requirement ID]]), "0;-0")</f>
        <v>REQ-0068</v>
      </c>
      <c r="B72" s="7"/>
      <c r="C72" s="6"/>
      <c r="D72" s="6"/>
      <c r="E72" s="6"/>
      <c r="F72" s="6"/>
      <c r="G72" s="6"/>
      <c r="H72" s="6"/>
      <c r="I72" s="6"/>
      <c r="J72" s="6"/>
      <c r="K72" s="6"/>
      <c r="L72" s="6"/>
      <c r="M72" s="6"/>
      <c r="N72" s="6"/>
      <c r="O72" s="7"/>
      <c r="P72" s="6"/>
      <c r="Q72" s="6"/>
    </row>
    <row r="73" spans="1:17">
      <c r="A73" s="6" t="str">
        <f>"REQ-00" &amp; TEXT(ROW() - ROW(tblRequirements[[#Headers],[Requirement ID]]), "0;-0")</f>
        <v>REQ-0069</v>
      </c>
      <c r="B73" s="7"/>
      <c r="C73" s="6"/>
      <c r="D73" s="6"/>
      <c r="E73" s="6"/>
      <c r="F73" s="6"/>
      <c r="G73" s="6"/>
      <c r="H73" s="6"/>
      <c r="I73" s="6"/>
      <c r="J73" s="6"/>
      <c r="K73" s="6"/>
      <c r="L73" s="6"/>
      <c r="M73" s="6"/>
      <c r="N73" s="6"/>
      <c r="O73" s="7"/>
      <c r="P73" s="6"/>
      <c r="Q73" s="6"/>
    </row>
    <row r="74" spans="1:17">
      <c r="A74" s="6" t="str">
        <f>"REQ-00" &amp; TEXT(ROW() - ROW(tblRequirements[[#Headers],[Requirement ID]]), "0;-0")</f>
        <v>REQ-0070</v>
      </c>
      <c r="B74" s="7"/>
      <c r="C74" s="6"/>
      <c r="D74" s="6"/>
      <c r="E74" s="6"/>
      <c r="F74" s="6"/>
      <c r="G74" s="6"/>
      <c r="H74" s="6"/>
      <c r="I74" s="6"/>
      <c r="J74" s="6"/>
      <c r="K74" s="6"/>
      <c r="L74" s="6"/>
      <c r="M74" s="6"/>
      <c r="N74" s="6"/>
      <c r="O74" s="7"/>
      <c r="P74" s="6"/>
      <c r="Q74" s="6"/>
    </row>
    <row r="75" spans="1:17">
      <c r="A75" s="6" t="str">
        <f>"REQ-00" &amp; TEXT(ROW() - ROW(tblRequirements[[#Headers],[Requirement ID]]), "0;-0")</f>
        <v>REQ-0071</v>
      </c>
      <c r="B75" s="7"/>
      <c r="C75" s="6"/>
      <c r="D75" s="6"/>
      <c r="E75" s="6"/>
      <c r="F75" s="6"/>
      <c r="G75" s="6"/>
      <c r="H75" s="6"/>
      <c r="I75" s="6"/>
      <c r="J75" s="6"/>
      <c r="K75" s="6"/>
      <c r="L75" s="6"/>
      <c r="M75" s="6"/>
      <c r="N75" s="6"/>
      <c r="O75" s="7"/>
      <c r="P75" s="6"/>
      <c r="Q75" s="6"/>
    </row>
    <row r="76" spans="1:17">
      <c r="A76" s="6" t="str">
        <f>"REQ-00" &amp; TEXT(ROW() - ROW(tblRequirements[[#Headers],[Requirement ID]]), "0;-0")</f>
        <v>REQ-0072</v>
      </c>
      <c r="B76" s="7"/>
      <c r="C76" s="6"/>
      <c r="D76" s="6"/>
      <c r="E76" s="6"/>
      <c r="F76" s="6"/>
      <c r="G76" s="6"/>
      <c r="H76" s="6"/>
      <c r="I76" s="6"/>
      <c r="J76" s="6"/>
      <c r="K76" s="6"/>
      <c r="L76" s="6"/>
      <c r="M76" s="6"/>
      <c r="N76" s="6"/>
      <c r="O76" s="7"/>
      <c r="P76" s="6"/>
      <c r="Q76" s="6"/>
    </row>
    <row r="77" spans="1:17">
      <c r="A77" s="6" t="str">
        <f>"REQ-00" &amp; TEXT(ROW() - ROW(tblRequirements[[#Headers],[Requirement ID]]), "0;-0")</f>
        <v>REQ-0073</v>
      </c>
      <c r="B77" s="7"/>
      <c r="C77" s="6"/>
      <c r="D77" s="6"/>
      <c r="E77" s="6"/>
      <c r="F77" s="6"/>
      <c r="G77" s="6"/>
      <c r="H77" s="6"/>
      <c r="I77" s="6"/>
      <c r="J77" s="6"/>
      <c r="K77" s="6"/>
      <c r="L77" s="6"/>
      <c r="M77" s="6"/>
      <c r="N77" s="6"/>
      <c r="O77" s="7"/>
      <c r="P77" s="6"/>
      <c r="Q77" s="6"/>
    </row>
    <row r="78" spans="1:17">
      <c r="A78" s="6" t="str">
        <f>"REQ-00" &amp; TEXT(ROW() - ROW(tblRequirements[[#Headers],[Requirement ID]]), "0;-0")</f>
        <v>REQ-0074</v>
      </c>
      <c r="B78" s="7"/>
      <c r="C78" s="6"/>
      <c r="D78" s="6"/>
      <c r="E78" s="6"/>
      <c r="F78" s="6"/>
      <c r="G78" s="6"/>
      <c r="H78" s="6"/>
      <c r="I78" s="6"/>
      <c r="J78" s="6"/>
      <c r="K78" s="6"/>
      <c r="L78" s="6"/>
      <c r="M78" s="6"/>
      <c r="N78" s="6"/>
      <c r="O78" s="7"/>
      <c r="P78" s="6"/>
      <c r="Q78" s="6"/>
    </row>
    <row r="79" spans="1:17">
      <c r="A79" s="6" t="str">
        <f>"REQ-00" &amp; TEXT(ROW() - ROW(tblRequirements[[#Headers],[Requirement ID]]), "0;-0")</f>
        <v>REQ-0075</v>
      </c>
      <c r="B79" s="7"/>
      <c r="C79" s="6"/>
      <c r="D79" s="6"/>
      <c r="E79" s="6"/>
      <c r="F79" s="6"/>
      <c r="G79" s="6"/>
      <c r="H79" s="6"/>
      <c r="I79" s="6"/>
      <c r="J79" s="6"/>
      <c r="K79" s="6"/>
      <c r="L79" s="6"/>
      <c r="M79" s="6"/>
      <c r="N79" s="6"/>
      <c r="O79" s="7"/>
      <c r="P79" s="6"/>
      <c r="Q79" s="6"/>
    </row>
    <row r="80" spans="1:17">
      <c r="A80" s="6" t="str">
        <f>"REQ-00" &amp; TEXT(ROW() - ROW(tblRequirements[[#Headers],[Requirement ID]]), "0;-0")</f>
        <v>REQ-0076</v>
      </c>
      <c r="B80" s="7"/>
      <c r="C80" s="6"/>
      <c r="D80" s="6"/>
      <c r="E80" s="6"/>
      <c r="F80" s="6"/>
      <c r="G80" s="6"/>
      <c r="H80" s="6"/>
      <c r="I80" s="6"/>
      <c r="J80" s="6"/>
      <c r="K80" s="6"/>
      <c r="L80" s="6"/>
      <c r="M80" s="6"/>
      <c r="N80" s="6"/>
      <c r="O80" s="7"/>
      <c r="P80" s="6"/>
      <c r="Q80" s="6"/>
    </row>
    <row r="81" spans="1:17">
      <c r="A81" s="6" t="str">
        <f>"REQ-00" &amp; TEXT(ROW() - ROW(tblRequirements[[#Headers],[Requirement ID]]), "0;-0")</f>
        <v>REQ-0077</v>
      </c>
      <c r="B81" s="7"/>
      <c r="C81" s="6"/>
      <c r="D81" s="6"/>
      <c r="E81" s="6"/>
      <c r="F81" s="6"/>
      <c r="G81" s="6"/>
      <c r="H81" s="6"/>
      <c r="I81" s="6"/>
      <c r="J81" s="6"/>
      <c r="K81" s="6"/>
      <c r="L81" s="6"/>
      <c r="M81" s="6"/>
      <c r="N81" s="6"/>
      <c r="O81" s="7"/>
      <c r="P81" s="6"/>
      <c r="Q81" s="6"/>
    </row>
    <row r="82" spans="1:17">
      <c r="A82" s="6" t="str">
        <f>"REQ-00" &amp; TEXT(ROW() - ROW(tblRequirements[[#Headers],[Requirement ID]]), "0;-0")</f>
        <v>REQ-0078</v>
      </c>
      <c r="B82" s="7"/>
      <c r="C82" s="6"/>
      <c r="D82" s="6"/>
      <c r="E82" s="6"/>
      <c r="F82" s="6"/>
      <c r="G82" s="6"/>
      <c r="H82" s="6"/>
      <c r="I82" s="6"/>
      <c r="J82" s="6"/>
      <c r="K82" s="6"/>
      <c r="L82" s="6"/>
      <c r="M82" s="6"/>
      <c r="N82" s="6"/>
      <c r="O82" s="7"/>
      <c r="P82" s="6"/>
      <c r="Q82" s="6"/>
    </row>
    <row r="83" spans="1:17">
      <c r="A83" s="6" t="str">
        <f>"REQ-00" &amp; TEXT(ROW() - ROW(tblRequirements[[#Headers],[Requirement ID]]), "0;-0")</f>
        <v>REQ-0079</v>
      </c>
      <c r="B83" s="7"/>
      <c r="C83" s="6"/>
      <c r="D83" s="6"/>
      <c r="E83" s="6"/>
      <c r="F83" s="6"/>
      <c r="G83" s="6"/>
      <c r="H83" s="6"/>
      <c r="I83" s="6"/>
      <c r="J83" s="6"/>
      <c r="K83" s="6"/>
      <c r="L83" s="6"/>
      <c r="M83" s="6"/>
      <c r="N83" s="6"/>
      <c r="O83" s="7"/>
      <c r="P83" s="6"/>
      <c r="Q83" s="6"/>
    </row>
    <row r="84" spans="1:17">
      <c r="A84" s="6" t="str">
        <f>"REQ-00" &amp; TEXT(ROW() - ROW(tblRequirements[[#Headers],[Requirement ID]]), "0;-0")</f>
        <v>REQ-0080</v>
      </c>
      <c r="B84" s="7"/>
      <c r="C84" s="6"/>
      <c r="D84" s="6"/>
      <c r="E84" s="6"/>
      <c r="F84" s="6"/>
      <c r="G84" s="6"/>
      <c r="H84" s="6"/>
      <c r="I84" s="6"/>
      <c r="J84" s="6"/>
      <c r="K84" s="6"/>
      <c r="L84" s="6"/>
      <c r="M84" s="6"/>
      <c r="N84" s="6"/>
      <c r="O84" s="7"/>
      <c r="P84" s="6"/>
      <c r="Q84" s="6"/>
    </row>
    <row r="85" spans="1:17">
      <c r="A85" s="6" t="str">
        <f>"REQ-00" &amp; TEXT(ROW() - ROW(tblRequirements[[#Headers],[Requirement ID]]), "0;-0")</f>
        <v>REQ-0081</v>
      </c>
      <c r="B85" s="7"/>
      <c r="C85" s="6"/>
      <c r="D85" s="6"/>
      <c r="E85" s="6"/>
      <c r="F85" s="6"/>
      <c r="G85" s="6"/>
      <c r="H85" s="6"/>
      <c r="I85" s="6"/>
      <c r="J85" s="6"/>
      <c r="K85" s="6"/>
      <c r="L85" s="6"/>
      <c r="M85" s="6"/>
      <c r="N85" s="6"/>
      <c r="O85" s="7"/>
      <c r="P85" s="6"/>
      <c r="Q85" s="6"/>
    </row>
    <row r="86" spans="1:17">
      <c r="A86" s="6" t="str">
        <f>"REQ-00" &amp; TEXT(ROW() - ROW(tblRequirements[[#Headers],[Requirement ID]]), "0;-0")</f>
        <v>REQ-0082</v>
      </c>
      <c r="B86" s="7"/>
      <c r="C86" s="6"/>
      <c r="D86" s="6"/>
      <c r="E86" s="6"/>
      <c r="F86" s="6"/>
      <c r="G86" s="6"/>
      <c r="H86" s="6"/>
      <c r="I86" s="6"/>
      <c r="J86" s="6"/>
      <c r="K86" s="6"/>
      <c r="L86" s="6"/>
      <c r="M86" s="6"/>
      <c r="N86" s="6"/>
      <c r="O86" s="7"/>
      <c r="P86" s="6"/>
      <c r="Q86" s="6"/>
    </row>
    <row r="87" spans="1:17">
      <c r="A87" s="6" t="str">
        <f>"REQ-00" &amp; TEXT(ROW() - ROW(tblRequirements[[#Headers],[Requirement ID]]), "0;-0")</f>
        <v>REQ-0083</v>
      </c>
      <c r="B87" s="7"/>
      <c r="C87" s="6"/>
      <c r="D87" s="6"/>
      <c r="E87" s="6"/>
      <c r="F87" s="6"/>
      <c r="G87" s="6"/>
      <c r="H87" s="6"/>
      <c r="I87" s="6"/>
      <c r="J87" s="6"/>
      <c r="K87" s="6"/>
      <c r="L87" s="6"/>
      <c r="M87" s="6"/>
      <c r="N87" s="6"/>
      <c r="O87" s="7"/>
      <c r="P87" s="6"/>
      <c r="Q87" s="6"/>
    </row>
    <row r="88" spans="1:17">
      <c r="A88" s="6" t="str">
        <f>"REQ-00" &amp; TEXT(ROW() - ROW(tblRequirements[[#Headers],[Requirement ID]]), "0;-0")</f>
        <v>REQ-0084</v>
      </c>
      <c r="B88" s="7"/>
      <c r="C88" s="6"/>
      <c r="D88" s="6"/>
      <c r="E88" s="6"/>
      <c r="F88" s="6"/>
      <c r="G88" s="6"/>
      <c r="H88" s="6"/>
      <c r="I88" s="6"/>
      <c r="J88" s="6"/>
      <c r="K88" s="6"/>
      <c r="L88" s="6"/>
      <c r="M88" s="6"/>
      <c r="N88" s="6"/>
      <c r="O88" s="7"/>
      <c r="P88" s="6"/>
      <c r="Q88" s="6"/>
    </row>
    <row r="89" spans="1:17">
      <c r="A89" s="6" t="str">
        <f>"REQ-00" &amp; TEXT(ROW() - ROW(tblRequirements[[#Headers],[Requirement ID]]), "0;-0")</f>
        <v>REQ-0085</v>
      </c>
      <c r="B89" s="7"/>
      <c r="C89" s="6"/>
      <c r="D89" s="6"/>
      <c r="E89" s="6"/>
      <c r="F89" s="6"/>
      <c r="G89" s="6"/>
      <c r="H89" s="6"/>
      <c r="I89" s="6"/>
      <c r="J89" s="6"/>
      <c r="K89" s="6"/>
      <c r="L89" s="6"/>
      <c r="M89" s="6"/>
      <c r="N89" s="6"/>
      <c r="O89" s="7"/>
      <c r="P89" s="6"/>
      <c r="Q89" s="6"/>
    </row>
    <row r="90" spans="1:17">
      <c r="A90" s="6" t="str">
        <f>"REQ-00" &amp; TEXT(ROW() - ROW(tblRequirements[[#Headers],[Requirement ID]]), "0;-0")</f>
        <v>REQ-0086</v>
      </c>
      <c r="B90" s="7"/>
      <c r="C90" s="6"/>
      <c r="D90" s="6"/>
      <c r="E90" s="6"/>
      <c r="F90" s="6"/>
      <c r="G90" s="6"/>
      <c r="H90" s="6"/>
      <c r="I90" s="6"/>
      <c r="J90" s="6"/>
      <c r="K90" s="6"/>
      <c r="L90" s="6"/>
      <c r="M90" s="6"/>
      <c r="N90" s="6"/>
      <c r="O90" s="7"/>
      <c r="P90" s="6"/>
      <c r="Q90" s="6"/>
    </row>
    <row r="91" spans="1:17">
      <c r="A91" s="6" t="str">
        <f>"REQ-00" &amp; TEXT(ROW() - ROW(tblRequirements[[#Headers],[Requirement ID]]), "0;-0")</f>
        <v>REQ-0087</v>
      </c>
      <c r="B91" s="7"/>
      <c r="C91" s="6"/>
      <c r="D91" s="6"/>
      <c r="E91" s="6"/>
      <c r="F91" s="6"/>
      <c r="G91" s="6"/>
      <c r="H91" s="6"/>
      <c r="I91" s="6"/>
      <c r="J91" s="6"/>
      <c r="K91" s="6"/>
      <c r="L91" s="6"/>
      <c r="M91" s="6"/>
      <c r="N91" s="6"/>
      <c r="O91" s="7"/>
      <c r="P91" s="6"/>
      <c r="Q91" s="6"/>
    </row>
    <row r="92" spans="1:17">
      <c r="A92" s="6" t="str">
        <f>"REQ-00" &amp; TEXT(ROW() - ROW(tblRequirements[[#Headers],[Requirement ID]]), "0;-0")</f>
        <v>REQ-0088</v>
      </c>
      <c r="B92" s="7"/>
      <c r="C92" s="6"/>
      <c r="D92" s="6"/>
      <c r="E92" s="6"/>
      <c r="F92" s="6"/>
      <c r="G92" s="6"/>
      <c r="H92" s="6"/>
      <c r="I92" s="6"/>
      <c r="J92" s="6"/>
      <c r="K92" s="6"/>
      <c r="L92" s="6"/>
      <c r="M92" s="6"/>
      <c r="N92" s="6"/>
      <c r="O92" s="7"/>
      <c r="P92" s="6"/>
      <c r="Q92" s="6"/>
    </row>
    <row r="93" spans="1:17">
      <c r="A93" s="6" t="str">
        <f>"REQ-00" &amp; TEXT(ROW() - ROW(tblRequirements[[#Headers],[Requirement ID]]), "0;-0")</f>
        <v>REQ-0089</v>
      </c>
      <c r="B93" s="7"/>
      <c r="C93" s="6"/>
      <c r="D93" s="6"/>
      <c r="E93" s="6"/>
      <c r="F93" s="6"/>
      <c r="G93" s="6"/>
      <c r="H93" s="6"/>
      <c r="I93" s="6"/>
      <c r="J93" s="6"/>
      <c r="K93" s="6"/>
      <c r="L93" s="6"/>
      <c r="M93" s="6"/>
      <c r="N93" s="6"/>
      <c r="O93" s="7"/>
      <c r="P93" s="6"/>
      <c r="Q93" s="6"/>
    </row>
    <row r="94" spans="1:17">
      <c r="A94" s="6" t="str">
        <f>"REQ-00" &amp; TEXT(ROW() - ROW(tblRequirements[[#Headers],[Requirement ID]]), "0;-0")</f>
        <v>REQ-0090</v>
      </c>
      <c r="B94" s="7"/>
      <c r="C94" s="6"/>
      <c r="D94" s="6"/>
      <c r="E94" s="6"/>
      <c r="F94" s="6"/>
      <c r="G94" s="6"/>
      <c r="H94" s="6"/>
      <c r="I94" s="6"/>
      <c r="J94" s="6"/>
      <c r="K94" s="6"/>
      <c r="L94" s="6"/>
      <c r="M94" s="6"/>
      <c r="N94" s="6"/>
      <c r="O94" s="7"/>
      <c r="P94" s="6"/>
      <c r="Q94" s="6"/>
    </row>
    <row r="95" spans="1:17">
      <c r="A95" s="6" t="str">
        <f>"REQ-00" &amp; TEXT(ROW() - ROW(tblRequirements[[#Headers],[Requirement ID]]), "0;-0")</f>
        <v>REQ-0091</v>
      </c>
      <c r="B95" s="7"/>
      <c r="C95" s="6"/>
      <c r="D95" s="6"/>
      <c r="E95" s="6"/>
      <c r="F95" s="6"/>
      <c r="G95" s="6"/>
      <c r="H95" s="6"/>
      <c r="I95" s="6"/>
      <c r="J95" s="6"/>
      <c r="K95" s="6"/>
      <c r="L95" s="6"/>
      <c r="M95" s="6"/>
      <c r="N95" s="6"/>
      <c r="O95" s="7"/>
      <c r="P95" s="6"/>
      <c r="Q95" s="6"/>
    </row>
    <row r="96" spans="1:17">
      <c r="A96" s="6" t="str">
        <f>"REQ-00" &amp; TEXT(ROW() - ROW(tblRequirements[[#Headers],[Requirement ID]]), "0;-0")</f>
        <v>REQ-0092</v>
      </c>
      <c r="B96" s="7"/>
      <c r="C96" s="6"/>
      <c r="D96" s="6"/>
      <c r="E96" s="6"/>
      <c r="F96" s="6"/>
      <c r="G96" s="6"/>
      <c r="H96" s="6"/>
      <c r="I96" s="6"/>
      <c r="J96" s="6"/>
      <c r="K96" s="6"/>
      <c r="L96" s="6"/>
      <c r="M96" s="6"/>
      <c r="N96" s="6"/>
      <c r="O96" s="7"/>
      <c r="P96" s="6"/>
      <c r="Q96" s="6"/>
    </row>
    <row r="97" spans="1:17">
      <c r="A97" s="6" t="str">
        <f>"REQ-00" &amp; TEXT(ROW() - ROW(tblRequirements[[#Headers],[Requirement ID]]), "0;-0")</f>
        <v>REQ-0093</v>
      </c>
      <c r="B97" s="7"/>
      <c r="C97" s="6"/>
      <c r="D97" s="6"/>
      <c r="E97" s="6"/>
      <c r="F97" s="6"/>
      <c r="G97" s="6"/>
      <c r="H97" s="6"/>
      <c r="I97" s="6"/>
      <c r="J97" s="6"/>
      <c r="K97" s="6"/>
      <c r="L97" s="6"/>
      <c r="M97" s="6"/>
      <c r="N97" s="6"/>
      <c r="O97" s="7"/>
      <c r="P97" s="6"/>
      <c r="Q97" s="6"/>
    </row>
    <row r="98" spans="1:17">
      <c r="A98" s="6" t="str">
        <f>"REQ-00" &amp; TEXT(ROW() - ROW(tblRequirements[[#Headers],[Requirement ID]]), "0;-0")</f>
        <v>REQ-0094</v>
      </c>
      <c r="B98" s="7"/>
      <c r="C98" s="6"/>
      <c r="D98" s="6"/>
      <c r="E98" s="6"/>
      <c r="F98" s="6"/>
      <c r="G98" s="6"/>
      <c r="H98" s="6"/>
      <c r="I98" s="6"/>
      <c r="J98" s="6"/>
      <c r="K98" s="6"/>
      <c r="L98" s="6"/>
      <c r="M98" s="6"/>
      <c r="N98" s="6"/>
      <c r="O98" s="7"/>
      <c r="P98" s="6"/>
      <c r="Q98" s="6"/>
    </row>
    <row r="99" spans="1:17">
      <c r="A99" s="6" t="str">
        <f>"REQ-00" &amp; TEXT(ROW() - ROW(tblRequirements[[#Headers],[Requirement ID]]), "0;-0")</f>
        <v>REQ-0095</v>
      </c>
      <c r="B99" s="7"/>
      <c r="C99" s="6"/>
      <c r="D99" s="6"/>
      <c r="E99" s="6"/>
      <c r="F99" s="6"/>
      <c r="G99" s="6"/>
      <c r="H99" s="6"/>
      <c r="I99" s="6"/>
      <c r="J99" s="6"/>
      <c r="K99" s="6"/>
      <c r="L99" s="6"/>
      <c r="M99" s="6"/>
      <c r="N99" s="6"/>
      <c r="O99" s="7"/>
      <c r="P99" s="6"/>
      <c r="Q99" s="6"/>
    </row>
    <row r="100" spans="1:17">
      <c r="A100" s="6" t="str">
        <f>"REQ-00" &amp; TEXT(ROW() - ROW(tblRequirements[[#Headers],[Requirement ID]]), "0;-0")</f>
        <v>REQ-0096</v>
      </c>
      <c r="B100" s="7"/>
      <c r="C100" s="6"/>
      <c r="D100" s="6"/>
      <c r="E100" s="6"/>
      <c r="F100" s="6"/>
      <c r="G100" s="6"/>
      <c r="H100" s="6"/>
      <c r="I100" s="6"/>
      <c r="J100" s="6"/>
      <c r="K100" s="6"/>
      <c r="L100" s="6"/>
      <c r="M100" s="6"/>
      <c r="N100" s="6"/>
      <c r="O100" s="7"/>
      <c r="P100" s="6"/>
      <c r="Q100" s="6"/>
    </row>
    <row r="101" spans="1:17">
      <c r="A101" s="6" t="str">
        <f>"REQ-00" &amp; TEXT(ROW() - ROW(tblRequirements[[#Headers],[Requirement ID]]), "0;-0")</f>
        <v>REQ-0097</v>
      </c>
      <c r="B101" s="7"/>
      <c r="C101" s="6"/>
      <c r="D101" s="6"/>
      <c r="E101" s="6"/>
      <c r="F101" s="6"/>
      <c r="G101" s="6"/>
      <c r="H101" s="6"/>
      <c r="I101" s="6"/>
      <c r="J101" s="6"/>
      <c r="K101" s="6"/>
      <c r="L101" s="6"/>
      <c r="M101" s="6"/>
      <c r="N101" s="6"/>
      <c r="O101" s="7"/>
      <c r="P101" s="6"/>
      <c r="Q101" s="6"/>
    </row>
    <row r="102" spans="1:17">
      <c r="A102" s="6" t="str">
        <f>"REQ-00" &amp; TEXT(ROW() - ROW(tblRequirements[[#Headers],[Requirement ID]]), "0;-0")</f>
        <v>REQ-0098</v>
      </c>
      <c r="B102" s="7"/>
      <c r="C102" s="6"/>
      <c r="D102" s="6"/>
      <c r="E102" s="6"/>
      <c r="F102" s="6"/>
      <c r="G102" s="6"/>
      <c r="H102" s="6"/>
      <c r="I102" s="6"/>
      <c r="J102" s="6"/>
      <c r="K102" s="6"/>
      <c r="L102" s="6"/>
      <c r="M102" s="6"/>
      <c r="N102" s="6"/>
      <c r="O102" s="7"/>
      <c r="P102" s="6"/>
      <c r="Q102" s="6"/>
    </row>
    <row r="103" spans="1:17">
      <c r="A103" s="6" t="str">
        <f>"REQ-00" &amp; TEXT(ROW() - ROW(tblRequirements[[#Headers],[Requirement ID]]), "0;-0")</f>
        <v>REQ-0099</v>
      </c>
      <c r="B103" s="7"/>
      <c r="C103" s="6"/>
      <c r="D103" s="6"/>
      <c r="E103" s="6"/>
      <c r="F103" s="6"/>
      <c r="G103" s="6"/>
      <c r="H103" s="6"/>
      <c r="I103" s="6"/>
      <c r="J103" s="6"/>
      <c r="K103" s="6"/>
      <c r="L103" s="6"/>
      <c r="M103" s="6"/>
      <c r="N103" s="6"/>
      <c r="O103" s="7"/>
      <c r="P103" s="6"/>
      <c r="Q103" s="6"/>
    </row>
    <row r="104" spans="1:17">
      <c r="A104" s="6" t="str">
        <f>"REQ-00" &amp; TEXT(ROW() - ROW(tblRequirements[[#Headers],[Requirement ID]]), "0;-0")</f>
        <v>REQ-00100</v>
      </c>
      <c r="B104" s="7"/>
      <c r="C104" s="6"/>
      <c r="D104" s="6"/>
      <c r="E104" s="6"/>
      <c r="F104" s="6"/>
      <c r="G104" s="6"/>
      <c r="H104" s="6"/>
      <c r="I104" s="6"/>
      <c r="J104" s="6"/>
      <c r="K104" s="6"/>
      <c r="L104" s="6"/>
      <c r="M104" s="6"/>
      <c r="N104" s="6"/>
      <c r="O104" s="7"/>
      <c r="P104" s="6"/>
      <c r="Q104" s="6"/>
    </row>
    <row r="105" spans="1:17">
      <c r="A105" s="6" t="str">
        <f>"REQ-00" &amp; TEXT(ROW() - ROW(tblRequirements[[#Headers],[Requirement ID]]), "0;-0")</f>
        <v>REQ-00101</v>
      </c>
      <c r="B105" s="7"/>
      <c r="C105" s="6"/>
      <c r="D105" s="6"/>
      <c r="E105" s="6"/>
      <c r="F105" s="6"/>
      <c r="G105" s="6"/>
      <c r="H105" s="6"/>
      <c r="I105" s="6"/>
      <c r="J105" s="6"/>
      <c r="K105" s="6"/>
      <c r="L105" s="6"/>
      <c r="M105" s="6"/>
      <c r="N105" s="6"/>
      <c r="O105" s="7"/>
      <c r="P105" s="6"/>
      <c r="Q105" s="6"/>
    </row>
    <row r="106" spans="1:17">
      <c r="A106" s="6" t="str">
        <f>"REQ-00" &amp; TEXT(ROW() - ROW(tblRequirements[[#Headers],[Requirement ID]]), "0;-0")</f>
        <v>REQ-00102</v>
      </c>
      <c r="B106" s="7"/>
      <c r="C106" s="6"/>
      <c r="D106" s="6"/>
      <c r="E106" s="6"/>
      <c r="F106" s="6"/>
      <c r="G106" s="6"/>
      <c r="H106" s="6"/>
      <c r="I106" s="6"/>
      <c r="J106" s="6"/>
      <c r="K106" s="6"/>
      <c r="L106" s="6"/>
      <c r="M106" s="6"/>
      <c r="N106" s="6"/>
      <c r="O106" s="7"/>
      <c r="P106" s="6"/>
      <c r="Q106" s="6"/>
    </row>
    <row r="107" spans="1:17">
      <c r="A107" s="6" t="str">
        <f>"REQ-00" &amp; TEXT(ROW() - ROW(tblRequirements[[#Headers],[Requirement ID]]), "0;-0")</f>
        <v>REQ-00103</v>
      </c>
      <c r="B107" s="7"/>
      <c r="C107" s="6"/>
      <c r="D107" s="6"/>
      <c r="E107" s="6"/>
      <c r="F107" s="6"/>
      <c r="G107" s="6"/>
      <c r="H107" s="6"/>
      <c r="I107" s="6"/>
      <c r="J107" s="6"/>
      <c r="K107" s="6"/>
      <c r="L107" s="6"/>
      <c r="M107" s="6"/>
      <c r="N107" s="6"/>
      <c r="O107" s="7"/>
      <c r="P107" s="6"/>
      <c r="Q107" s="6"/>
    </row>
    <row r="108" spans="1:17">
      <c r="A108" s="6" t="str">
        <f>"REQ-00" &amp; TEXT(ROW() - ROW(tblRequirements[[#Headers],[Requirement ID]]), "0;-0")</f>
        <v>REQ-00104</v>
      </c>
      <c r="B108" s="7"/>
      <c r="C108" s="6"/>
      <c r="D108" s="6"/>
      <c r="E108" s="6"/>
      <c r="F108" s="6"/>
      <c r="G108" s="6"/>
      <c r="H108" s="6"/>
      <c r="I108" s="6"/>
      <c r="J108" s="6"/>
      <c r="K108" s="6"/>
      <c r="L108" s="6"/>
      <c r="M108" s="6"/>
      <c r="N108" s="6"/>
      <c r="O108" s="7"/>
      <c r="P108" s="6"/>
      <c r="Q108" s="6"/>
    </row>
    <row r="109" spans="1:17">
      <c r="A109" s="6" t="str">
        <f>"REQ-00" &amp; TEXT(ROW() - ROW(tblRequirements[[#Headers],[Requirement ID]]), "0;-0")</f>
        <v>REQ-00105</v>
      </c>
      <c r="B109" s="7"/>
      <c r="C109" s="6"/>
      <c r="D109" s="6"/>
      <c r="E109" s="6"/>
      <c r="F109" s="6"/>
      <c r="G109" s="6"/>
      <c r="H109" s="6"/>
      <c r="I109" s="6"/>
      <c r="J109" s="6"/>
      <c r="K109" s="6"/>
      <c r="L109" s="6"/>
      <c r="M109" s="6"/>
      <c r="N109" s="6"/>
      <c r="O109" s="7"/>
      <c r="P109" s="6"/>
      <c r="Q109" s="6"/>
    </row>
    <row r="110" spans="1:17">
      <c r="A110" s="6" t="str">
        <f>"REQ-00" &amp; TEXT(ROW() - ROW(tblRequirements[[#Headers],[Requirement ID]]), "0;-0")</f>
        <v>REQ-00106</v>
      </c>
      <c r="B110" s="7"/>
      <c r="C110" s="6"/>
      <c r="D110" s="6"/>
      <c r="E110" s="6"/>
      <c r="F110" s="6"/>
      <c r="G110" s="6"/>
      <c r="H110" s="6"/>
      <c r="I110" s="6"/>
      <c r="J110" s="6"/>
      <c r="K110" s="6"/>
      <c r="L110" s="6"/>
      <c r="M110" s="6"/>
      <c r="N110" s="6"/>
      <c r="O110" s="7"/>
      <c r="P110" s="6"/>
      <c r="Q110" s="6"/>
    </row>
    <row r="111" spans="1:17">
      <c r="A111" s="6" t="str">
        <f>"REQ-00" &amp; TEXT(ROW() - ROW(tblRequirements[[#Headers],[Requirement ID]]), "0;-0")</f>
        <v>REQ-00107</v>
      </c>
      <c r="B111" s="7"/>
      <c r="C111" s="6"/>
      <c r="D111" s="6"/>
      <c r="E111" s="6"/>
      <c r="F111" s="6"/>
      <c r="G111" s="6"/>
      <c r="H111" s="6"/>
      <c r="I111" s="6"/>
      <c r="J111" s="6"/>
      <c r="K111" s="6"/>
      <c r="L111" s="6"/>
      <c r="M111" s="6"/>
      <c r="N111" s="6"/>
      <c r="O111" s="7"/>
      <c r="P111" s="6"/>
      <c r="Q111" s="6"/>
    </row>
    <row r="112" spans="1:17">
      <c r="A112" s="6" t="str">
        <f>"REQ-00" &amp; TEXT(ROW() - ROW(tblRequirements[[#Headers],[Requirement ID]]), "0;-0")</f>
        <v>REQ-00108</v>
      </c>
      <c r="B112" s="7"/>
      <c r="C112" s="6"/>
      <c r="D112" s="6"/>
      <c r="E112" s="6"/>
      <c r="F112" s="6"/>
      <c r="G112" s="6"/>
      <c r="H112" s="6"/>
      <c r="I112" s="6"/>
      <c r="J112" s="6"/>
      <c r="K112" s="6"/>
      <c r="L112" s="6"/>
      <c r="M112" s="6"/>
      <c r="N112" s="6"/>
      <c r="O112" s="7"/>
      <c r="P112" s="6"/>
      <c r="Q112" s="6"/>
    </row>
    <row r="113" spans="1:17">
      <c r="A113" s="6" t="str">
        <f>"REQ-00" &amp; TEXT(ROW() - ROW(tblRequirements[[#Headers],[Requirement ID]]), "0;-0")</f>
        <v>REQ-00109</v>
      </c>
      <c r="B113" s="7"/>
      <c r="C113" s="6"/>
      <c r="D113" s="6"/>
      <c r="E113" s="6"/>
      <c r="F113" s="6"/>
      <c r="G113" s="6"/>
      <c r="H113" s="6"/>
      <c r="I113" s="6"/>
      <c r="J113" s="6"/>
      <c r="K113" s="6"/>
      <c r="L113" s="6"/>
      <c r="M113" s="6"/>
      <c r="N113" s="6"/>
      <c r="O113" s="7"/>
      <c r="P113" s="6"/>
      <c r="Q113" s="6"/>
    </row>
    <row r="114" spans="1:17">
      <c r="A114" s="6" t="str">
        <f>"REQ-00" &amp; TEXT(ROW() - ROW(tblRequirements[[#Headers],[Requirement ID]]), "0;-0")</f>
        <v>REQ-00110</v>
      </c>
      <c r="B114" s="7"/>
      <c r="C114" s="6"/>
      <c r="D114" s="6"/>
      <c r="E114" s="6"/>
      <c r="F114" s="6"/>
      <c r="G114" s="6"/>
      <c r="H114" s="6"/>
      <c r="I114" s="6"/>
      <c r="J114" s="6"/>
      <c r="K114" s="6"/>
      <c r="L114" s="6"/>
      <c r="M114" s="6"/>
      <c r="N114" s="6"/>
      <c r="O114" s="7"/>
      <c r="P114" s="6"/>
      <c r="Q114" s="6"/>
    </row>
    <row r="115" spans="1:17">
      <c r="A115" s="6" t="str">
        <f>"REQ-00" &amp; TEXT(ROW() - ROW(tblRequirements[[#Headers],[Requirement ID]]), "0;-0")</f>
        <v>REQ-00111</v>
      </c>
      <c r="B115" s="7"/>
      <c r="C115" s="6"/>
      <c r="D115" s="6"/>
      <c r="E115" s="6"/>
      <c r="F115" s="6"/>
      <c r="G115" s="6"/>
      <c r="H115" s="6"/>
      <c r="I115" s="6"/>
      <c r="J115" s="6"/>
      <c r="K115" s="6"/>
      <c r="L115" s="6"/>
      <c r="M115" s="6"/>
      <c r="N115" s="6"/>
      <c r="O115" s="7"/>
      <c r="P115" s="6"/>
      <c r="Q115" s="6"/>
    </row>
    <row r="116" spans="1:17">
      <c r="A116" s="6" t="str">
        <f>"REQ-00" &amp; TEXT(ROW() - ROW(tblRequirements[[#Headers],[Requirement ID]]), "0;-0")</f>
        <v>REQ-00112</v>
      </c>
      <c r="B116" s="7"/>
      <c r="C116" s="6"/>
      <c r="D116" s="6"/>
      <c r="E116" s="6"/>
      <c r="F116" s="6"/>
      <c r="G116" s="6"/>
      <c r="H116" s="6"/>
      <c r="I116" s="6"/>
      <c r="J116" s="6"/>
      <c r="K116" s="6"/>
      <c r="L116" s="6"/>
      <c r="M116" s="6"/>
      <c r="N116" s="6"/>
      <c r="O116" s="7"/>
      <c r="P116" s="6"/>
      <c r="Q116" s="6"/>
    </row>
    <row r="117" spans="1:17">
      <c r="A117" s="6" t="str">
        <f>"REQ-00" &amp; TEXT(ROW() - ROW(tblRequirements[[#Headers],[Requirement ID]]), "0;-0")</f>
        <v>REQ-00113</v>
      </c>
      <c r="B117" s="7"/>
      <c r="C117" s="6"/>
      <c r="D117" s="6"/>
      <c r="E117" s="6"/>
      <c r="F117" s="6"/>
      <c r="G117" s="6"/>
      <c r="H117" s="6"/>
      <c r="I117" s="6"/>
      <c r="J117" s="6"/>
      <c r="K117" s="6"/>
      <c r="L117" s="6"/>
      <c r="M117" s="6"/>
      <c r="N117" s="6"/>
      <c r="O117" s="7"/>
      <c r="P117" s="6"/>
      <c r="Q117" s="6"/>
    </row>
    <row r="118" spans="1:17">
      <c r="A118" s="6" t="str">
        <f>"REQ-00" &amp; TEXT(ROW() - ROW(tblRequirements[[#Headers],[Requirement ID]]), "0;-0")</f>
        <v>REQ-00114</v>
      </c>
      <c r="B118" s="7"/>
      <c r="C118" s="6"/>
      <c r="D118" s="6"/>
      <c r="E118" s="6"/>
      <c r="F118" s="6"/>
      <c r="G118" s="6"/>
      <c r="H118" s="6"/>
      <c r="I118" s="6"/>
      <c r="J118" s="6"/>
      <c r="K118" s="6"/>
      <c r="L118" s="6"/>
      <c r="M118" s="6"/>
      <c r="N118" s="6"/>
      <c r="O118" s="7"/>
      <c r="P118" s="6"/>
      <c r="Q118" s="6"/>
    </row>
    <row r="119" spans="1:17">
      <c r="A119" s="6" t="str">
        <f>"REQ-00" &amp; TEXT(ROW() - ROW(tblRequirements[[#Headers],[Requirement ID]]), "0;-0")</f>
        <v>REQ-00115</v>
      </c>
      <c r="B119" s="7"/>
      <c r="C119" s="6"/>
      <c r="D119" s="6"/>
      <c r="E119" s="6"/>
      <c r="F119" s="6"/>
      <c r="G119" s="6"/>
      <c r="H119" s="6"/>
      <c r="I119" s="6"/>
      <c r="J119" s="6"/>
      <c r="K119" s="6"/>
      <c r="L119" s="6"/>
      <c r="M119" s="6"/>
      <c r="N119" s="6"/>
      <c r="O119" s="7"/>
      <c r="P119" s="6"/>
      <c r="Q119" s="6"/>
    </row>
    <row r="120" spans="1:17">
      <c r="A120" s="6" t="str">
        <f>"REQ-00" &amp; TEXT(ROW() - ROW(tblRequirements[[#Headers],[Requirement ID]]), "0;-0")</f>
        <v>REQ-00116</v>
      </c>
      <c r="B120" s="7"/>
      <c r="C120" s="6"/>
      <c r="D120" s="6"/>
      <c r="E120" s="6"/>
      <c r="F120" s="6"/>
      <c r="G120" s="6"/>
      <c r="H120" s="6"/>
      <c r="I120" s="6"/>
      <c r="J120" s="6"/>
      <c r="K120" s="6"/>
      <c r="L120" s="6"/>
      <c r="M120" s="6"/>
      <c r="N120" s="6"/>
      <c r="O120" s="7"/>
      <c r="P120" s="6"/>
      <c r="Q120" s="6"/>
    </row>
    <row r="121" spans="1:17">
      <c r="A121" s="6" t="str">
        <f>"REQ-00" &amp; TEXT(ROW() - ROW(tblRequirements[[#Headers],[Requirement ID]]), "0;-0")</f>
        <v>REQ-00117</v>
      </c>
      <c r="B121" s="7"/>
      <c r="C121" s="6"/>
      <c r="D121" s="6"/>
      <c r="E121" s="6"/>
      <c r="F121" s="6"/>
      <c r="G121" s="6"/>
      <c r="H121" s="6"/>
      <c r="I121" s="6"/>
      <c r="J121" s="6"/>
      <c r="K121" s="6"/>
      <c r="L121" s="6"/>
      <c r="M121" s="6"/>
      <c r="N121" s="6"/>
      <c r="O121" s="7"/>
      <c r="P121" s="6"/>
      <c r="Q121" s="6"/>
    </row>
    <row r="122" spans="1:17">
      <c r="A122" s="6" t="str">
        <f>"REQ-00" &amp; TEXT(ROW() - ROW(tblRequirements[[#Headers],[Requirement ID]]), "0;-0")</f>
        <v>REQ-00118</v>
      </c>
      <c r="B122" s="7"/>
      <c r="C122" s="6"/>
      <c r="D122" s="6"/>
      <c r="E122" s="6"/>
      <c r="F122" s="6"/>
      <c r="G122" s="6"/>
      <c r="H122" s="6"/>
      <c r="I122" s="6"/>
      <c r="J122" s="6"/>
      <c r="K122" s="6"/>
      <c r="L122" s="6"/>
      <c r="M122" s="6"/>
      <c r="N122" s="6"/>
      <c r="O122" s="7"/>
      <c r="P122" s="6"/>
      <c r="Q122" s="6"/>
    </row>
    <row r="123" spans="1:17">
      <c r="A123" s="6" t="str">
        <f>"REQ-00" &amp; TEXT(ROW() - ROW(tblRequirements[[#Headers],[Requirement ID]]), "0;-0")</f>
        <v>REQ-00119</v>
      </c>
      <c r="B123" s="7"/>
      <c r="C123" s="6"/>
      <c r="D123" s="6"/>
      <c r="E123" s="6"/>
      <c r="F123" s="6"/>
      <c r="G123" s="6"/>
      <c r="H123" s="6"/>
      <c r="I123" s="6"/>
      <c r="J123" s="6"/>
      <c r="K123" s="6"/>
      <c r="L123" s="6"/>
      <c r="M123" s="6"/>
      <c r="N123" s="6"/>
      <c r="O123" s="7"/>
      <c r="P123" s="6"/>
      <c r="Q123" s="6"/>
    </row>
    <row r="124" spans="1:17">
      <c r="A124" s="6" t="str">
        <f>"REQ-00" &amp; TEXT(ROW() - ROW(tblRequirements[[#Headers],[Requirement ID]]), "0;-0")</f>
        <v>REQ-00120</v>
      </c>
      <c r="B124" s="7"/>
      <c r="C124" s="6"/>
      <c r="D124" s="6"/>
      <c r="E124" s="6"/>
      <c r="F124" s="6"/>
      <c r="G124" s="6"/>
      <c r="H124" s="6"/>
      <c r="I124" s="6"/>
      <c r="J124" s="6"/>
      <c r="K124" s="6"/>
      <c r="L124" s="6"/>
      <c r="M124" s="6"/>
      <c r="N124" s="6"/>
      <c r="O124" s="7"/>
      <c r="P124" s="6"/>
      <c r="Q124" s="6"/>
    </row>
    <row r="125" spans="1:17">
      <c r="A125" s="6" t="str">
        <f>"REQ-00" &amp; TEXT(ROW() - ROW(tblRequirements[[#Headers],[Requirement ID]]), "0;-0")</f>
        <v>REQ-00121</v>
      </c>
      <c r="B125" s="7"/>
      <c r="C125" s="6"/>
      <c r="D125" s="6"/>
      <c r="E125" s="6"/>
      <c r="F125" s="6"/>
      <c r="G125" s="6"/>
      <c r="H125" s="6"/>
      <c r="I125" s="6"/>
      <c r="J125" s="6"/>
      <c r="K125" s="6"/>
      <c r="L125" s="6"/>
      <c r="M125" s="6"/>
      <c r="N125" s="6"/>
      <c r="O125" s="7"/>
      <c r="P125" s="6"/>
      <c r="Q125" s="6"/>
    </row>
    <row r="126" spans="1:17">
      <c r="A126" s="6" t="str">
        <f>"REQ-00" &amp; TEXT(ROW() - ROW(tblRequirements[[#Headers],[Requirement ID]]), "0;-0")</f>
        <v>REQ-00122</v>
      </c>
      <c r="B126" s="7"/>
      <c r="C126" s="6"/>
      <c r="D126" s="6"/>
      <c r="E126" s="6"/>
      <c r="F126" s="6"/>
      <c r="G126" s="6"/>
      <c r="H126" s="6"/>
      <c r="I126" s="6"/>
      <c r="J126" s="6"/>
      <c r="K126" s="6"/>
      <c r="L126" s="6"/>
      <c r="M126" s="6"/>
      <c r="N126" s="6"/>
      <c r="O126" s="7"/>
      <c r="P126" s="6"/>
      <c r="Q126" s="6"/>
    </row>
    <row r="127" spans="1:17">
      <c r="A127" s="6" t="str">
        <f>"REQ-00" &amp; TEXT(ROW() - ROW(tblRequirements[[#Headers],[Requirement ID]]), "0;-0")</f>
        <v>REQ-00123</v>
      </c>
      <c r="B127" s="7"/>
      <c r="C127" s="6"/>
      <c r="D127" s="6"/>
      <c r="E127" s="6"/>
      <c r="F127" s="6"/>
      <c r="G127" s="6"/>
      <c r="H127" s="6"/>
      <c r="I127" s="6"/>
      <c r="J127" s="6"/>
      <c r="K127" s="6"/>
      <c r="L127" s="6"/>
      <c r="M127" s="6"/>
      <c r="N127" s="6"/>
      <c r="O127" s="7"/>
      <c r="P127" s="6"/>
      <c r="Q127" s="6"/>
    </row>
    <row r="128" spans="1:17">
      <c r="A128" s="6" t="str">
        <f>"REQ-00" &amp; TEXT(ROW() - ROW(tblRequirements[[#Headers],[Requirement ID]]), "0;-0")</f>
        <v>REQ-00124</v>
      </c>
      <c r="B128" s="7"/>
      <c r="C128" s="6"/>
      <c r="D128" s="6"/>
      <c r="E128" s="6"/>
      <c r="F128" s="6"/>
      <c r="G128" s="6"/>
      <c r="H128" s="6"/>
      <c r="I128" s="6"/>
      <c r="J128" s="6"/>
      <c r="K128" s="6"/>
      <c r="L128" s="6"/>
      <c r="M128" s="6"/>
      <c r="N128" s="6"/>
      <c r="O128" s="7"/>
      <c r="P128" s="6"/>
      <c r="Q128" s="6"/>
    </row>
    <row r="129" spans="1:17">
      <c r="A129" s="6" t="str">
        <f>"REQ-00" &amp; TEXT(ROW() - ROW(tblRequirements[[#Headers],[Requirement ID]]), "0;-0")</f>
        <v>REQ-00125</v>
      </c>
      <c r="B129" s="7"/>
      <c r="C129" s="6"/>
      <c r="D129" s="6"/>
      <c r="E129" s="6"/>
      <c r="F129" s="6"/>
      <c r="G129" s="6"/>
      <c r="H129" s="6"/>
      <c r="I129" s="6"/>
      <c r="J129" s="6"/>
      <c r="K129" s="6"/>
      <c r="L129" s="6"/>
      <c r="M129" s="6"/>
      <c r="N129" s="6"/>
      <c r="O129" s="7"/>
      <c r="P129" s="6"/>
      <c r="Q129" s="6"/>
    </row>
    <row r="130" spans="1:17">
      <c r="A130" s="6" t="str">
        <f>"REQ-00" &amp; TEXT(ROW() - ROW(tblRequirements[[#Headers],[Requirement ID]]), "0;-0")</f>
        <v>REQ-00126</v>
      </c>
      <c r="B130" s="7"/>
      <c r="C130" s="6"/>
      <c r="D130" s="6"/>
      <c r="E130" s="6"/>
      <c r="F130" s="6"/>
      <c r="G130" s="6"/>
      <c r="H130" s="6"/>
      <c r="I130" s="6"/>
      <c r="J130" s="6"/>
      <c r="K130" s="6"/>
      <c r="L130" s="6"/>
      <c r="M130" s="6"/>
      <c r="N130" s="6"/>
      <c r="O130" s="7"/>
      <c r="P130" s="6"/>
      <c r="Q130" s="6"/>
    </row>
    <row r="131" spans="1:17">
      <c r="A131" s="6" t="str">
        <f>"REQ-00" &amp; TEXT(ROW() - ROW(tblRequirements[[#Headers],[Requirement ID]]), "0;-0")</f>
        <v>REQ-00127</v>
      </c>
      <c r="B131" s="7"/>
      <c r="C131" s="6"/>
      <c r="D131" s="6"/>
      <c r="E131" s="6"/>
      <c r="F131" s="6"/>
      <c r="G131" s="6"/>
      <c r="H131" s="6"/>
      <c r="I131" s="6"/>
      <c r="J131" s="6"/>
      <c r="K131" s="6"/>
      <c r="L131" s="6"/>
      <c r="M131" s="6"/>
      <c r="N131" s="6"/>
      <c r="O131" s="7"/>
      <c r="P131" s="6"/>
      <c r="Q131" s="6"/>
    </row>
    <row r="132" spans="1:17">
      <c r="A132" s="6" t="str">
        <f>"REQ-00" &amp; TEXT(ROW() - ROW(tblRequirements[[#Headers],[Requirement ID]]), "0;-0")</f>
        <v>REQ-00128</v>
      </c>
      <c r="B132" s="7"/>
      <c r="C132" s="6"/>
      <c r="D132" s="6"/>
      <c r="E132" s="6"/>
      <c r="F132" s="6"/>
      <c r="G132" s="6"/>
      <c r="H132" s="6"/>
      <c r="I132" s="6"/>
      <c r="J132" s="6"/>
      <c r="K132" s="6"/>
      <c r="L132" s="6"/>
      <c r="M132" s="6"/>
      <c r="N132" s="6"/>
      <c r="O132" s="7"/>
      <c r="P132" s="6"/>
      <c r="Q132" s="6"/>
    </row>
    <row r="133" spans="1:17">
      <c r="A133" s="6" t="str">
        <f>"REQ-00" &amp; TEXT(ROW() - ROW(tblRequirements[[#Headers],[Requirement ID]]), "0;-0")</f>
        <v>REQ-00129</v>
      </c>
      <c r="B133" s="7"/>
      <c r="C133" s="6"/>
      <c r="D133" s="6"/>
      <c r="E133" s="6"/>
      <c r="F133" s="6"/>
      <c r="G133" s="6"/>
      <c r="H133" s="6"/>
      <c r="I133" s="6"/>
      <c r="J133" s="6"/>
      <c r="K133" s="6"/>
      <c r="L133" s="6"/>
      <c r="M133" s="6"/>
      <c r="N133" s="6"/>
      <c r="O133" s="7"/>
      <c r="P133" s="6"/>
      <c r="Q133" s="6"/>
    </row>
    <row r="134" spans="1:17">
      <c r="A134" s="6" t="str">
        <f>"REQ-00" &amp; TEXT(ROW() - ROW(tblRequirements[[#Headers],[Requirement ID]]), "0;-0")</f>
        <v>REQ-00130</v>
      </c>
      <c r="B134" s="7"/>
      <c r="C134" s="6"/>
      <c r="D134" s="6"/>
      <c r="E134" s="6"/>
      <c r="F134" s="6"/>
      <c r="G134" s="6"/>
      <c r="H134" s="6"/>
      <c r="I134" s="6"/>
      <c r="J134" s="6"/>
      <c r="K134" s="6"/>
      <c r="L134" s="6"/>
      <c r="M134" s="6"/>
      <c r="N134" s="6"/>
      <c r="O134" s="7"/>
      <c r="P134" s="6"/>
      <c r="Q134" s="6"/>
    </row>
    <row r="135" spans="1:17">
      <c r="A135" s="6" t="str">
        <f>"REQ-00" &amp; TEXT(ROW() - ROW(tblRequirements[[#Headers],[Requirement ID]]), "0;-0")</f>
        <v>REQ-00131</v>
      </c>
      <c r="B135" s="7"/>
      <c r="C135" s="6"/>
      <c r="D135" s="6"/>
      <c r="E135" s="6"/>
      <c r="F135" s="6"/>
      <c r="G135" s="6"/>
      <c r="H135" s="6"/>
      <c r="I135" s="6"/>
      <c r="J135" s="6"/>
      <c r="K135" s="6"/>
      <c r="L135" s="6"/>
      <c r="M135" s="6"/>
      <c r="N135" s="6"/>
      <c r="O135" s="7"/>
      <c r="P135" s="6"/>
      <c r="Q135" s="6"/>
    </row>
    <row r="136" spans="1:17">
      <c r="A136" s="6" t="str">
        <f>"REQ-00" &amp; TEXT(ROW() - ROW(tblRequirements[[#Headers],[Requirement ID]]), "0;-0")</f>
        <v>REQ-00132</v>
      </c>
      <c r="B136" s="7"/>
      <c r="C136" s="6"/>
      <c r="D136" s="6"/>
      <c r="E136" s="6"/>
      <c r="F136" s="6"/>
      <c r="G136" s="6"/>
      <c r="H136" s="6"/>
      <c r="I136" s="6"/>
      <c r="J136" s="6"/>
      <c r="K136" s="6"/>
      <c r="L136" s="6"/>
      <c r="M136" s="6"/>
      <c r="N136" s="6"/>
      <c r="O136" s="7"/>
      <c r="P136" s="6"/>
      <c r="Q136" s="6"/>
    </row>
    <row r="137" spans="1:17">
      <c r="A137" s="6" t="str">
        <f>"REQ-00" &amp; TEXT(ROW() - ROW(tblRequirements[[#Headers],[Requirement ID]]), "0;-0")</f>
        <v>REQ-00133</v>
      </c>
      <c r="B137" s="7"/>
      <c r="C137" s="6"/>
      <c r="D137" s="6"/>
      <c r="E137" s="6"/>
      <c r="F137" s="6"/>
      <c r="G137" s="6"/>
      <c r="H137" s="6"/>
      <c r="I137" s="6"/>
      <c r="J137" s="6"/>
      <c r="K137" s="6"/>
      <c r="L137" s="6"/>
      <c r="M137" s="6"/>
      <c r="N137" s="6"/>
      <c r="O137" s="7"/>
      <c r="P137" s="6"/>
      <c r="Q137" s="6"/>
    </row>
    <row r="138" spans="1:17">
      <c r="A138" s="6" t="str">
        <f>"REQ-00" &amp; TEXT(ROW() - ROW(tblRequirements[[#Headers],[Requirement ID]]), "0;-0")</f>
        <v>REQ-00134</v>
      </c>
      <c r="B138" s="7"/>
      <c r="C138" s="6"/>
      <c r="D138" s="6"/>
      <c r="E138" s="6"/>
      <c r="F138" s="6"/>
      <c r="G138" s="6"/>
      <c r="H138" s="6"/>
      <c r="I138" s="6"/>
      <c r="J138" s="6"/>
      <c r="K138" s="6"/>
      <c r="L138" s="6"/>
      <c r="M138" s="6"/>
      <c r="N138" s="6"/>
      <c r="O138" s="7"/>
      <c r="P138" s="6"/>
      <c r="Q138" s="6"/>
    </row>
    <row r="139" spans="1:17">
      <c r="A139" s="6" t="str">
        <f>"REQ-00" &amp; TEXT(ROW() - ROW(tblRequirements[[#Headers],[Requirement ID]]), "0;-0")</f>
        <v>REQ-00135</v>
      </c>
      <c r="B139" s="7"/>
      <c r="C139" s="6"/>
      <c r="D139" s="6"/>
      <c r="E139" s="6"/>
      <c r="F139" s="6"/>
      <c r="G139" s="6"/>
      <c r="H139" s="6"/>
      <c r="I139" s="6"/>
      <c r="J139" s="6"/>
      <c r="K139" s="6"/>
      <c r="L139" s="6"/>
      <c r="M139" s="6"/>
      <c r="N139" s="6"/>
      <c r="O139" s="7"/>
      <c r="P139" s="6"/>
      <c r="Q139" s="6"/>
    </row>
    <row r="140" spans="1:17">
      <c r="A140" s="6" t="str">
        <f>"REQ-00" &amp; TEXT(ROW() - ROW(tblRequirements[[#Headers],[Requirement ID]]), "0;-0")</f>
        <v>REQ-00136</v>
      </c>
      <c r="B140" s="7"/>
      <c r="C140" s="6"/>
      <c r="D140" s="6"/>
      <c r="E140" s="6"/>
      <c r="F140" s="6"/>
      <c r="G140" s="6"/>
      <c r="H140" s="6"/>
      <c r="I140" s="6"/>
      <c r="J140" s="6"/>
      <c r="K140" s="6"/>
      <c r="L140" s="6"/>
      <c r="M140" s="6"/>
      <c r="N140" s="6"/>
      <c r="O140" s="7"/>
      <c r="P140" s="6"/>
      <c r="Q140" s="6"/>
    </row>
    <row r="141" spans="1:17">
      <c r="A141" s="6" t="str">
        <f>"REQ-00" &amp; TEXT(ROW() - ROW(tblRequirements[[#Headers],[Requirement ID]]), "0;-0")</f>
        <v>REQ-00137</v>
      </c>
      <c r="B141" s="7"/>
      <c r="C141" s="6"/>
      <c r="D141" s="6"/>
      <c r="E141" s="6"/>
      <c r="F141" s="6"/>
      <c r="G141" s="6"/>
      <c r="H141" s="6"/>
      <c r="I141" s="6"/>
      <c r="J141" s="6"/>
      <c r="K141" s="6"/>
      <c r="L141" s="6"/>
      <c r="M141" s="6"/>
      <c r="N141" s="6"/>
      <c r="O141" s="7"/>
      <c r="P141" s="6"/>
      <c r="Q141" s="6"/>
    </row>
    <row r="142" spans="1:17">
      <c r="A142" s="6" t="str">
        <f>"REQ-00" &amp; TEXT(ROW() - ROW(tblRequirements[[#Headers],[Requirement ID]]), "0;-0")</f>
        <v>REQ-00138</v>
      </c>
      <c r="B142" s="7"/>
      <c r="C142" s="6"/>
      <c r="D142" s="6"/>
      <c r="E142" s="6"/>
      <c r="F142" s="6"/>
      <c r="G142" s="6"/>
      <c r="H142" s="6"/>
      <c r="I142" s="6"/>
      <c r="J142" s="6"/>
      <c r="K142" s="6"/>
      <c r="L142" s="6"/>
      <c r="M142" s="6"/>
      <c r="N142" s="6"/>
      <c r="O142" s="7"/>
      <c r="P142" s="6"/>
      <c r="Q142" s="6"/>
    </row>
    <row r="143" spans="1:17">
      <c r="A143" s="6" t="str">
        <f>"REQ-00" &amp; TEXT(ROW() - ROW(tblRequirements[[#Headers],[Requirement ID]]), "0;-0")</f>
        <v>REQ-00139</v>
      </c>
      <c r="B143" s="7"/>
      <c r="C143" s="6"/>
      <c r="D143" s="6"/>
      <c r="E143" s="6"/>
      <c r="F143" s="6"/>
      <c r="G143" s="6"/>
      <c r="H143" s="6"/>
      <c r="I143" s="6"/>
      <c r="J143" s="6"/>
      <c r="K143" s="6"/>
      <c r="L143" s="6"/>
      <c r="M143" s="6"/>
      <c r="N143" s="6"/>
      <c r="O143" s="7"/>
      <c r="P143" s="6"/>
      <c r="Q143" s="6"/>
    </row>
    <row r="144" spans="1:17">
      <c r="A144" s="6" t="str">
        <f>"REQ-00" &amp; TEXT(ROW() - ROW(tblRequirements[[#Headers],[Requirement ID]]), "0;-0")</f>
        <v>REQ-00140</v>
      </c>
      <c r="B144" s="7"/>
      <c r="C144" s="6"/>
      <c r="D144" s="6"/>
      <c r="E144" s="6"/>
      <c r="F144" s="6"/>
      <c r="G144" s="6"/>
      <c r="H144" s="6"/>
      <c r="I144" s="6"/>
      <c r="J144" s="6"/>
      <c r="K144" s="6"/>
      <c r="L144" s="6"/>
      <c r="M144" s="6"/>
      <c r="N144" s="6"/>
      <c r="O144" s="7"/>
      <c r="P144" s="6"/>
      <c r="Q144" s="6"/>
    </row>
    <row r="145" spans="1:17">
      <c r="A145" s="6" t="str">
        <f>"REQ-00" &amp; TEXT(ROW() - ROW(tblRequirements[[#Headers],[Requirement ID]]), "0;-0")</f>
        <v>REQ-00141</v>
      </c>
      <c r="B145" s="7"/>
      <c r="C145" s="6"/>
      <c r="D145" s="6"/>
      <c r="E145" s="6"/>
      <c r="F145" s="6"/>
      <c r="G145" s="6"/>
      <c r="H145" s="6"/>
      <c r="I145" s="6"/>
      <c r="J145" s="6"/>
      <c r="K145" s="6"/>
      <c r="L145" s="6"/>
      <c r="M145" s="6"/>
      <c r="N145" s="6"/>
      <c r="O145" s="7"/>
      <c r="P145" s="6"/>
      <c r="Q145" s="6"/>
    </row>
    <row r="146" spans="1:17">
      <c r="A146" s="6" t="str">
        <f>"REQ-00" &amp; TEXT(ROW() - ROW(tblRequirements[[#Headers],[Requirement ID]]), "0;-0")</f>
        <v>REQ-00142</v>
      </c>
      <c r="B146" s="7"/>
      <c r="C146" s="6"/>
      <c r="D146" s="6"/>
      <c r="E146" s="6"/>
      <c r="F146" s="6"/>
      <c r="G146" s="6"/>
      <c r="H146" s="6"/>
      <c r="I146" s="6"/>
      <c r="J146" s="6"/>
      <c r="K146" s="6"/>
      <c r="L146" s="6"/>
      <c r="M146" s="6"/>
      <c r="N146" s="6"/>
      <c r="O146" s="7"/>
      <c r="P146" s="6"/>
      <c r="Q146" s="6"/>
    </row>
    <row r="147" spans="1:17">
      <c r="A147" s="6" t="str">
        <f>"REQ-00" &amp; TEXT(ROW() - ROW(tblRequirements[[#Headers],[Requirement ID]]), "0;-0")</f>
        <v>REQ-00143</v>
      </c>
      <c r="B147" s="7"/>
      <c r="C147" s="6"/>
      <c r="D147" s="6"/>
      <c r="E147" s="6"/>
      <c r="F147" s="6"/>
      <c r="G147" s="6"/>
      <c r="H147" s="6"/>
      <c r="I147" s="6"/>
      <c r="J147" s="6"/>
      <c r="K147" s="6"/>
      <c r="L147" s="6"/>
      <c r="M147" s="6"/>
      <c r="N147" s="6"/>
      <c r="O147" s="7"/>
      <c r="P147" s="6"/>
      <c r="Q147" s="6"/>
    </row>
    <row r="148" spans="1:17">
      <c r="A148" s="6" t="str">
        <f>"REQ-00" &amp; TEXT(ROW() - ROW(tblRequirements[[#Headers],[Requirement ID]]), "0;-0")</f>
        <v>REQ-00144</v>
      </c>
      <c r="B148" s="7"/>
      <c r="C148" s="6"/>
      <c r="D148" s="6"/>
      <c r="E148" s="6"/>
      <c r="F148" s="6"/>
      <c r="G148" s="6"/>
      <c r="H148" s="6"/>
      <c r="I148" s="6"/>
      <c r="J148" s="6"/>
      <c r="K148" s="6"/>
      <c r="L148" s="6"/>
      <c r="M148" s="6"/>
      <c r="N148" s="6"/>
      <c r="O148" s="7"/>
      <c r="P148" s="6"/>
      <c r="Q148" s="6"/>
    </row>
    <row r="149" spans="1:17">
      <c r="A149" s="6" t="str">
        <f>"REQ-00" &amp; TEXT(ROW() - ROW(tblRequirements[[#Headers],[Requirement ID]]), "0;-0")</f>
        <v>REQ-00145</v>
      </c>
      <c r="B149" s="7"/>
      <c r="C149" s="6"/>
      <c r="D149" s="6"/>
      <c r="E149" s="6"/>
      <c r="F149" s="6"/>
      <c r="G149" s="6"/>
      <c r="H149" s="6"/>
      <c r="I149" s="6"/>
      <c r="J149" s="6"/>
      <c r="K149" s="6"/>
      <c r="L149" s="6"/>
      <c r="M149" s="6"/>
      <c r="N149" s="6"/>
      <c r="O149" s="7"/>
      <c r="P149" s="6"/>
      <c r="Q149" s="6"/>
    </row>
    <row r="150" spans="1:17">
      <c r="A150" s="6" t="str">
        <f>"REQ-00" &amp; TEXT(ROW() - ROW(tblRequirements[[#Headers],[Requirement ID]]), "0;-0")</f>
        <v>REQ-00146</v>
      </c>
      <c r="B150" s="7"/>
      <c r="C150" s="6"/>
      <c r="D150" s="6"/>
      <c r="E150" s="6"/>
      <c r="F150" s="6"/>
      <c r="G150" s="6"/>
      <c r="H150" s="6"/>
      <c r="I150" s="6"/>
      <c r="J150" s="6"/>
      <c r="K150" s="6"/>
      <c r="L150" s="6"/>
      <c r="M150" s="6"/>
      <c r="N150" s="6"/>
      <c r="O150" s="7"/>
      <c r="P150" s="6"/>
      <c r="Q150" s="6"/>
    </row>
    <row r="151" spans="1:17">
      <c r="A151" s="6" t="str">
        <f>"REQ-00" &amp; TEXT(ROW() - ROW(tblRequirements[[#Headers],[Requirement ID]]), "0;-0")</f>
        <v>REQ-00147</v>
      </c>
      <c r="B151" s="7"/>
      <c r="C151" s="6"/>
      <c r="D151" s="6"/>
      <c r="E151" s="6"/>
      <c r="F151" s="6"/>
      <c r="G151" s="6"/>
      <c r="H151" s="6"/>
      <c r="I151" s="6"/>
      <c r="J151" s="6"/>
      <c r="K151" s="6"/>
      <c r="L151" s="6"/>
      <c r="M151" s="6"/>
      <c r="N151" s="6"/>
      <c r="O151" s="7"/>
      <c r="P151" s="6"/>
      <c r="Q151" s="6"/>
    </row>
    <row r="152" spans="1:17">
      <c r="A152" s="6" t="str">
        <f>"REQ-00" &amp; TEXT(ROW() - ROW(tblRequirements[[#Headers],[Requirement ID]]), "0;-0")</f>
        <v>REQ-00148</v>
      </c>
      <c r="B152" s="7"/>
      <c r="C152" s="6"/>
      <c r="D152" s="6"/>
      <c r="E152" s="6"/>
      <c r="F152" s="6"/>
      <c r="G152" s="6"/>
      <c r="H152" s="6"/>
      <c r="I152" s="6"/>
      <c r="J152" s="6"/>
      <c r="K152" s="6"/>
      <c r="L152" s="6"/>
      <c r="M152" s="6"/>
      <c r="N152" s="6"/>
      <c r="O152" s="7"/>
      <c r="P152" s="6"/>
      <c r="Q152" s="6"/>
    </row>
    <row r="153" spans="1:17">
      <c r="A153" s="6" t="str">
        <f>"REQ-00" &amp; TEXT(ROW() - ROW(tblRequirements[[#Headers],[Requirement ID]]), "0;-0")</f>
        <v>REQ-00149</v>
      </c>
      <c r="B153" s="7"/>
      <c r="C153" s="6"/>
      <c r="D153" s="6"/>
      <c r="E153" s="6"/>
      <c r="F153" s="6"/>
      <c r="G153" s="6"/>
      <c r="H153" s="6"/>
      <c r="I153" s="6"/>
      <c r="J153" s="6"/>
      <c r="K153" s="6"/>
      <c r="L153" s="6"/>
      <c r="M153" s="6"/>
      <c r="N153" s="6"/>
      <c r="O153" s="7"/>
      <c r="P153" s="6"/>
      <c r="Q153" s="6"/>
    </row>
    <row r="154" spans="1:17">
      <c r="A154" s="6" t="str">
        <f>"REQ-00" &amp; TEXT(ROW() - ROW(tblRequirements[[#Headers],[Requirement ID]]), "0;-0")</f>
        <v>REQ-00150</v>
      </c>
      <c r="B154" s="7"/>
      <c r="C154" s="6"/>
      <c r="D154" s="6"/>
      <c r="E154" s="6"/>
      <c r="F154" s="6"/>
      <c r="G154" s="6"/>
      <c r="H154" s="6"/>
      <c r="I154" s="6"/>
      <c r="J154" s="6"/>
      <c r="K154" s="6"/>
      <c r="L154" s="6"/>
      <c r="M154" s="6"/>
      <c r="N154" s="6"/>
      <c r="O154" s="7"/>
      <c r="P154" s="6"/>
      <c r="Q154" s="6"/>
    </row>
    <row r="155" spans="1:17" ht="45.75">
      <c r="A155" s="20" t="str">
        <f>"REQ-00" &amp; TEXT(ROW() - ROW(tblRequirements[[#Headers],[Requirement ID]]), "0;-0")</f>
        <v>REQ-00151</v>
      </c>
      <c r="B155" s="7">
        <v>46261</v>
      </c>
      <c r="C155" s="6" t="s">
        <v>78</v>
      </c>
      <c r="D155" s="6"/>
      <c r="E155" s="6" t="s">
        <v>45</v>
      </c>
      <c r="F155" s="20" t="s">
        <v>116</v>
      </c>
      <c r="G155" s="20"/>
      <c r="H155" s="20"/>
      <c r="I155" s="20"/>
      <c r="J155" s="20"/>
      <c r="K155" s="20"/>
      <c r="L155" s="20"/>
      <c r="M155" s="20"/>
      <c r="N155" s="20"/>
      <c r="O155" s="21"/>
      <c r="P155" s="20"/>
      <c r="Q155" s="6" t="s">
        <v>101</v>
      </c>
    </row>
    <row r="156" spans="1:17">
      <c r="A156" s="20" t="str">
        <f>"REQ-00" &amp; TEXT(ROW() - ROW(tblRequirements[[#Headers],[Requirement ID]]), "0;-0")</f>
        <v>REQ-00152</v>
      </c>
      <c r="B156" s="7"/>
      <c r="C156" s="6"/>
      <c r="D156" s="6"/>
      <c r="E156" s="6"/>
      <c r="F156" s="20"/>
      <c r="G156" s="20"/>
      <c r="H156" s="20"/>
      <c r="I156" s="20"/>
      <c r="J156" s="20"/>
      <c r="K156" s="20"/>
      <c r="L156" s="20"/>
      <c r="M156" s="20"/>
      <c r="N156" s="20"/>
      <c r="O156" s="21"/>
      <c r="P156" s="20"/>
      <c r="Q156" s="20"/>
    </row>
  </sheetData>
  <mergeCells count="2">
    <mergeCell ref="A2:H2"/>
    <mergeCell ref="A1:H1"/>
  </mergeCells>
  <conditionalFormatting sqref="I5:I156">
    <cfRule type="expression" dxfId="20" priority="1">
      <formula>I5="Critical"</formula>
    </cfRule>
    <cfRule type="expression" dxfId="19" priority="2">
      <formula>I5="High"</formula>
    </cfRule>
    <cfRule type="expression" dxfId="18" priority="3">
      <formula>I5="Medium"</formula>
    </cfRule>
    <cfRule type="expression" dxfId="17" priority="4">
      <formula>I5="Low"</formula>
    </cfRule>
  </conditionalFormatting>
  <conditionalFormatting sqref="J5:J156">
    <cfRule type="expression" dxfId="16" priority="5">
      <formula>J5="Completed"</formula>
    </cfRule>
    <cfRule type="expression" dxfId="15" priority="6">
      <formula>J5="Rejected"</formula>
    </cfRule>
    <cfRule type="expression" dxfId="14" priority="7">
      <formula>J5="Deferred"</formula>
    </cfRule>
  </conditionalFormatting>
  <pageMargins left="0.75" right="0.75" top="1" bottom="1" header="0.5" footer="0.5"/>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errorTitle="Invalid entry" error="Select a value from the dropdown list." promptTitle="Input guidance" prompt="Choose from the dropdown list." xr:uid="{00000000-0002-0000-0300-000000000000}">
          <x14:formula1>
            <xm:f>Lists!$F$2:$F$50</xm:f>
          </x14:formula1>
          <xm:sqref>E5:E156</xm:sqref>
        </x14:dataValidation>
        <x14:dataValidation type="list" allowBlank="1" errorTitle="Invalid entry" error="Select a value from the dropdown list." promptTitle="Input guidance" prompt="Choose from the dropdown list." xr:uid="{00000000-0002-0000-0300-000001000000}">
          <x14:formula1>
            <xm:f>Lists!$C$2:$C$50</xm:f>
          </x14:formula1>
          <xm:sqref>H5:H156</xm:sqref>
        </x14:dataValidation>
        <x14:dataValidation type="list" allowBlank="1" errorTitle="Invalid entry" error="Select a value from the dropdown list." promptTitle="Input guidance" prompt="Choose from the dropdown list." xr:uid="{00000000-0002-0000-0300-000002000000}">
          <x14:formula1>
            <xm:f>Lists!$A$2:$A$50</xm:f>
          </x14:formula1>
          <xm:sqref>I5:I156</xm:sqref>
        </x14:dataValidation>
        <x14:dataValidation type="list" allowBlank="1" errorTitle="Invalid entry" error="Select a value from the dropdown list." promptTitle="Input guidance" prompt="Choose from the dropdown list." xr:uid="{00000000-0002-0000-0300-000003000000}">
          <x14:formula1>
            <xm:f>Lists!$B$2:$B$50</xm:f>
          </x14:formula1>
          <xm:sqref>J5:J156</xm:sqref>
        </x14:dataValidation>
        <x14:dataValidation type="list" allowBlank="1" errorTitle="Invalid entry" error="Select a value from the dropdown list." promptTitle="Input guidance" prompt="Choose from the dropdown list." xr:uid="{00000000-0002-0000-0300-000004000000}">
          <x14:formula1>
            <xm:f>Lists!$I$2:$I$50</xm:f>
          </x14:formula1>
          <xm:sqref>P5:P156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4"/>
  <sheetViews>
    <sheetView showGridLines="0" topLeftCell="L1" workbookViewId="0">
      <pane ySplit="4" topLeftCell="A19" activePane="bottomLeft" state="frozen"/>
      <selection pane="bottomLeft" activeCell="Q94" sqref="Q94"/>
    </sheetView>
  </sheetViews>
  <sheetFormatPr defaultRowHeight="15"/>
  <cols>
    <col min="1" max="2" width="14" customWidth="1"/>
    <col min="3" max="4" width="22" customWidth="1"/>
    <col min="5" max="5" width="20" customWidth="1"/>
    <col min="6" max="6" width="24" customWidth="1"/>
    <col min="7" max="7" width="18" customWidth="1"/>
    <col min="8" max="8" width="14" customWidth="1"/>
    <col min="9" max="9" width="48.85546875" customWidth="1"/>
    <col min="10" max="11" width="38" hidden="1" customWidth="1"/>
    <col min="12" max="12" width="32" hidden="1" customWidth="1"/>
    <col min="13" max="13" width="35" hidden="1" customWidth="1"/>
    <col min="14" max="14" width="20" hidden="1" customWidth="1"/>
    <col min="15" max="15" width="17" hidden="1" customWidth="1"/>
    <col min="16" max="16" width="22" hidden="1" customWidth="1"/>
    <col min="17" max="17" width="35" customWidth="1"/>
  </cols>
  <sheetData>
    <row r="1" spans="1:17" ht="21.95" customHeight="1">
      <c r="A1" s="23" t="s">
        <v>117</v>
      </c>
      <c r="B1" s="33"/>
      <c r="C1" s="33"/>
      <c r="D1" s="33"/>
      <c r="E1" s="33"/>
      <c r="F1" s="33"/>
      <c r="G1" s="33"/>
      <c r="H1" s="33"/>
    </row>
    <row r="2" spans="1:17" ht="21.95" customHeight="1">
      <c r="A2" s="22" t="s">
        <v>118</v>
      </c>
      <c r="B2" s="33"/>
      <c r="C2" s="33"/>
      <c r="D2" s="33"/>
      <c r="E2" s="33"/>
      <c r="F2" s="33"/>
      <c r="G2" s="33"/>
      <c r="H2" s="33"/>
    </row>
    <row r="3" spans="1:17" ht="21.95" customHeight="1"/>
    <row r="4" spans="1:17" ht="21.95" customHeight="1">
      <c r="A4" s="5" t="s">
        <v>119</v>
      </c>
      <c r="B4" s="5" t="s">
        <v>120</v>
      </c>
      <c r="C4" s="5" t="s">
        <v>121</v>
      </c>
      <c r="D4" s="5" t="s">
        <v>122</v>
      </c>
      <c r="E4" s="5" t="s">
        <v>36</v>
      </c>
      <c r="F4" s="5" t="s">
        <v>123</v>
      </c>
      <c r="G4" s="5" t="s">
        <v>124</v>
      </c>
      <c r="H4" s="5" t="s">
        <v>60</v>
      </c>
      <c r="I4" s="5" t="s">
        <v>125</v>
      </c>
      <c r="J4" s="5" t="s">
        <v>126</v>
      </c>
      <c r="K4" s="5" t="s">
        <v>127</v>
      </c>
      <c r="L4" s="5" t="s">
        <v>128</v>
      </c>
      <c r="M4" s="5" t="s">
        <v>129</v>
      </c>
      <c r="N4" s="5" t="s">
        <v>73</v>
      </c>
      <c r="O4" s="5" t="s">
        <v>33</v>
      </c>
      <c r="P4" s="5" t="s">
        <v>130</v>
      </c>
      <c r="Q4" s="5" t="s">
        <v>131</v>
      </c>
    </row>
    <row r="5" spans="1:17" ht="52.5" hidden="1" customHeight="1">
      <c r="A5" s="6" t="str">
        <f>"FB-00" &amp; TEXT(ROW() - ROW(tblFeedback[[#Headers],[Feedback ID]]), "0;-0")</f>
        <v>FB-001</v>
      </c>
      <c r="B5" s="7">
        <v>46245</v>
      </c>
      <c r="C5" s="6" t="s">
        <v>132</v>
      </c>
      <c r="D5" s="6" t="s">
        <v>78</v>
      </c>
      <c r="E5" s="6" t="s">
        <v>45</v>
      </c>
      <c r="F5" s="6" t="s">
        <v>133</v>
      </c>
      <c r="G5" s="6" t="s">
        <v>134</v>
      </c>
      <c r="H5" s="6" t="s">
        <v>41</v>
      </c>
      <c r="I5" s="6" t="s">
        <v>135</v>
      </c>
      <c r="J5" s="6"/>
      <c r="K5" s="6"/>
      <c r="L5" s="6"/>
      <c r="M5" s="6"/>
      <c r="N5" s="6"/>
      <c r="O5" s="6"/>
      <c r="P5" s="6"/>
      <c r="Q5" s="6"/>
    </row>
    <row r="6" spans="1:17" ht="52.5" hidden="1" customHeight="1">
      <c r="A6" s="6" t="str">
        <f>"FB-00" &amp; TEXT(ROW() - ROW(tblFeedback[[#Headers],[Feedback ID]]), "0;-0")</f>
        <v>FB-002</v>
      </c>
      <c r="B6" s="7"/>
      <c r="C6" s="6"/>
      <c r="D6" s="6"/>
      <c r="E6" s="6"/>
      <c r="F6" s="6"/>
      <c r="G6" s="6"/>
      <c r="H6" s="6"/>
      <c r="I6" s="6"/>
      <c r="J6" s="6"/>
      <c r="K6" s="6"/>
      <c r="L6" s="6"/>
      <c r="M6" s="6"/>
      <c r="N6" s="6"/>
      <c r="O6" s="6"/>
      <c r="P6" s="6"/>
      <c r="Q6" s="6"/>
    </row>
    <row r="7" spans="1:17" ht="91.5" hidden="1">
      <c r="A7" s="6" t="str">
        <f>"FB-00" &amp; TEXT(ROW() - ROW(tblFeedback[[#Headers],[Feedback ID]]), "0;-0")</f>
        <v>FB-003</v>
      </c>
      <c r="B7" s="7">
        <v>46252</v>
      </c>
      <c r="C7" s="6" t="s">
        <v>132</v>
      </c>
      <c r="D7" s="6" t="s">
        <v>83</v>
      </c>
      <c r="E7" s="6" t="s">
        <v>61</v>
      </c>
      <c r="F7" s="6" t="s">
        <v>136</v>
      </c>
      <c r="G7" s="6" t="s">
        <v>137</v>
      </c>
      <c r="H7" s="6" t="s">
        <v>44</v>
      </c>
      <c r="I7" s="6" t="s">
        <v>138</v>
      </c>
      <c r="J7" s="6"/>
      <c r="K7" s="6"/>
      <c r="L7" s="6"/>
      <c r="M7" s="6"/>
      <c r="N7" s="6"/>
      <c r="O7" s="6"/>
      <c r="P7" s="6"/>
      <c r="Q7" s="6"/>
    </row>
    <row r="8" spans="1:17" ht="21.95" hidden="1" customHeight="1">
      <c r="A8" s="6" t="str">
        <f>"FB-00" &amp; TEXT(ROW() - ROW(tblFeedback[[#Headers],[Feedback ID]]), "0;-0")</f>
        <v>FB-004</v>
      </c>
      <c r="B8" s="7">
        <v>46252</v>
      </c>
      <c r="C8" s="6" t="s">
        <v>132</v>
      </c>
      <c r="D8" s="6" t="s">
        <v>83</v>
      </c>
      <c r="E8" s="6" t="s">
        <v>61</v>
      </c>
      <c r="F8" s="6" t="s">
        <v>136</v>
      </c>
      <c r="G8" s="6" t="s">
        <v>137</v>
      </c>
      <c r="H8" s="6" t="s">
        <v>44</v>
      </c>
      <c r="I8" s="6" t="s">
        <v>139</v>
      </c>
      <c r="J8" s="6"/>
      <c r="K8" s="6"/>
      <c r="L8" s="6"/>
      <c r="M8" s="6"/>
      <c r="N8" s="6"/>
      <c r="O8" s="6"/>
      <c r="P8" s="6"/>
      <c r="Q8" s="6"/>
    </row>
    <row r="9" spans="1:17" ht="30.75" hidden="1">
      <c r="A9" s="6" t="str">
        <f>"FB-00" &amp; TEXT(ROW() - ROW(tblFeedback[[#Headers],[Feedback ID]]), "0;-0")</f>
        <v>FB-005</v>
      </c>
      <c r="B9" s="7">
        <v>46252</v>
      </c>
      <c r="C9" s="6" t="s">
        <v>132</v>
      </c>
      <c r="D9" s="6" t="s">
        <v>83</v>
      </c>
      <c r="E9" s="6" t="s">
        <v>61</v>
      </c>
      <c r="F9" s="6" t="s">
        <v>136</v>
      </c>
      <c r="G9" s="6" t="s">
        <v>137</v>
      </c>
      <c r="H9" s="6" t="s">
        <v>44</v>
      </c>
      <c r="I9" s="6" t="s">
        <v>140</v>
      </c>
      <c r="J9" s="6"/>
      <c r="K9" s="6"/>
      <c r="L9" s="6"/>
      <c r="M9" s="6"/>
      <c r="N9" s="6"/>
      <c r="O9" s="6"/>
      <c r="P9" s="6"/>
      <c r="Q9" s="6"/>
    </row>
    <row r="10" spans="1:17" ht="30.75" hidden="1">
      <c r="A10" s="6" t="str">
        <f>"FB-00" &amp; TEXT(ROW() - ROW(tblFeedback[[#Headers],[Feedback ID]]), "0;-0")</f>
        <v>FB-006</v>
      </c>
      <c r="B10" s="7">
        <v>46258</v>
      </c>
      <c r="C10" s="6" t="s">
        <v>132</v>
      </c>
      <c r="D10" s="6" t="s">
        <v>83</v>
      </c>
      <c r="E10" s="6" t="s">
        <v>61</v>
      </c>
      <c r="F10" s="6" t="s">
        <v>133</v>
      </c>
      <c r="G10" s="6" t="s">
        <v>141</v>
      </c>
      <c r="H10" s="6" t="s">
        <v>41</v>
      </c>
      <c r="I10" s="6" t="s">
        <v>142</v>
      </c>
      <c r="J10" s="6"/>
      <c r="K10" s="6"/>
      <c r="L10" s="6"/>
      <c r="M10" s="6"/>
      <c r="N10" s="6"/>
      <c r="O10" s="6"/>
      <c r="P10" s="6"/>
      <c r="Q10" s="6"/>
    </row>
    <row r="11" spans="1:17" ht="45.75" hidden="1">
      <c r="A11" s="6" t="str">
        <f>"FB-00" &amp; TEXT(ROW() - ROW(tblFeedback[[#Headers],[Feedback ID]]), "0;-0")</f>
        <v>FB-007</v>
      </c>
      <c r="B11" s="7">
        <v>46258</v>
      </c>
      <c r="C11" s="6" t="s">
        <v>132</v>
      </c>
      <c r="D11" s="6" t="s">
        <v>83</v>
      </c>
      <c r="E11" s="6" t="s">
        <v>61</v>
      </c>
      <c r="F11" s="6" t="s">
        <v>133</v>
      </c>
      <c r="G11" s="6" t="s">
        <v>141</v>
      </c>
      <c r="H11" s="6" t="s">
        <v>44</v>
      </c>
      <c r="I11" s="6" t="s">
        <v>143</v>
      </c>
      <c r="J11" s="6"/>
      <c r="K11" s="6"/>
      <c r="L11" s="6"/>
      <c r="M11" s="6"/>
      <c r="N11" s="6"/>
      <c r="O11" s="6"/>
      <c r="P11" s="6"/>
      <c r="Q11" s="6"/>
    </row>
    <row r="12" spans="1:17" ht="60.75" hidden="1">
      <c r="A12" s="6" t="str">
        <f>"FB-00" &amp; TEXT(ROW() - ROW(tblFeedback[[#Headers],[Feedback ID]]), "0;-0")</f>
        <v>FB-008</v>
      </c>
      <c r="B12" s="7">
        <v>46258</v>
      </c>
      <c r="C12" s="6" t="s">
        <v>132</v>
      </c>
      <c r="D12" s="6" t="s">
        <v>83</v>
      </c>
      <c r="E12" s="6" t="s">
        <v>84</v>
      </c>
      <c r="F12" s="6" t="s">
        <v>144</v>
      </c>
      <c r="G12" s="6" t="s">
        <v>141</v>
      </c>
      <c r="H12" s="6" t="s">
        <v>41</v>
      </c>
      <c r="I12" s="6" t="s">
        <v>145</v>
      </c>
      <c r="J12" s="6"/>
      <c r="K12" s="6"/>
      <c r="L12" s="6"/>
      <c r="M12" s="6"/>
      <c r="N12" s="6"/>
      <c r="O12" s="6"/>
      <c r="P12" s="6"/>
      <c r="Q12" s="6"/>
    </row>
    <row r="13" spans="1:17" ht="21.95" hidden="1" customHeight="1">
      <c r="A13" s="6" t="str">
        <f>"FB-00" &amp; TEXT(ROW() - ROW(tblFeedback[[#Headers],[Feedback ID]]), "0;-0")</f>
        <v>FB-009</v>
      </c>
      <c r="B13" s="7">
        <v>46258</v>
      </c>
      <c r="C13" s="6" t="s">
        <v>132</v>
      </c>
      <c r="D13" s="6" t="s">
        <v>83</v>
      </c>
      <c r="E13" s="6"/>
      <c r="F13" s="6" t="s">
        <v>146</v>
      </c>
      <c r="G13" s="6" t="s">
        <v>141</v>
      </c>
      <c r="H13" s="6" t="s">
        <v>41</v>
      </c>
      <c r="I13" s="6" t="s">
        <v>147</v>
      </c>
      <c r="J13" s="6"/>
      <c r="K13" s="6"/>
      <c r="L13" s="6"/>
      <c r="M13" s="6"/>
      <c r="N13" s="6"/>
      <c r="O13" s="6"/>
      <c r="P13" s="6"/>
      <c r="Q13" s="6"/>
    </row>
    <row r="14" spans="1:17" ht="21.95" hidden="1" customHeight="1">
      <c r="A14" s="6" t="str">
        <f>"FB-00" &amp; TEXT(ROW() - ROW(tblFeedback[[#Headers],[Feedback ID]]), "0;-0")</f>
        <v>FB-0010</v>
      </c>
      <c r="B14" s="7">
        <v>46258</v>
      </c>
      <c r="C14" s="6" t="s">
        <v>132</v>
      </c>
      <c r="D14" s="6" t="s">
        <v>83</v>
      </c>
      <c r="E14" s="6" t="s">
        <v>114</v>
      </c>
      <c r="F14" s="6" t="s">
        <v>148</v>
      </c>
      <c r="G14" s="6" t="s">
        <v>141</v>
      </c>
      <c r="H14" s="6" t="s">
        <v>44</v>
      </c>
      <c r="I14" s="6" t="s">
        <v>149</v>
      </c>
      <c r="J14" s="6"/>
      <c r="K14" s="6"/>
      <c r="L14" s="6"/>
      <c r="M14" s="6"/>
      <c r="N14" s="6"/>
      <c r="O14" s="6"/>
      <c r="P14" s="6"/>
      <c r="Q14" s="6"/>
    </row>
    <row r="15" spans="1:17" ht="21.95" hidden="1" customHeight="1">
      <c r="A15" s="6" t="str">
        <f>"FB-00" &amp; TEXT(ROW() - ROW(tblFeedback[[#Headers],[Feedback ID]]), "0;-0")</f>
        <v>FB-0011</v>
      </c>
      <c r="B15" s="7">
        <v>46258</v>
      </c>
      <c r="C15" s="6" t="s">
        <v>132</v>
      </c>
      <c r="D15" s="6" t="s">
        <v>83</v>
      </c>
      <c r="E15" s="6" t="s">
        <v>114</v>
      </c>
      <c r="F15" s="6" t="s">
        <v>150</v>
      </c>
      <c r="G15" s="6" t="s">
        <v>141</v>
      </c>
      <c r="H15" s="6" t="s">
        <v>47</v>
      </c>
      <c r="I15" s="6" t="s">
        <v>151</v>
      </c>
      <c r="J15" s="6"/>
      <c r="K15" s="6"/>
      <c r="L15" s="6"/>
      <c r="M15" s="6"/>
      <c r="N15" s="6"/>
      <c r="O15" s="6"/>
      <c r="P15" s="6"/>
      <c r="Q15" s="6"/>
    </row>
    <row r="16" spans="1:17" ht="30.75" hidden="1">
      <c r="A16" s="6" t="str">
        <f>"FB-00" &amp; TEXT(ROW() - ROW(tblFeedback[[#Headers],[Feedback ID]]), "0;-0")</f>
        <v>FB-0012</v>
      </c>
      <c r="B16" s="7">
        <v>46258</v>
      </c>
      <c r="C16" s="6" t="s">
        <v>132</v>
      </c>
      <c r="D16" s="6" t="s">
        <v>83</v>
      </c>
      <c r="E16" s="6" t="s">
        <v>152</v>
      </c>
      <c r="F16" s="6"/>
      <c r="G16" s="6" t="s">
        <v>134</v>
      </c>
      <c r="H16" s="6" t="s">
        <v>47</v>
      </c>
      <c r="I16" s="6" t="s">
        <v>153</v>
      </c>
      <c r="J16" s="6"/>
      <c r="K16" s="6"/>
      <c r="L16" s="6"/>
      <c r="M16" s="6"/>
      <c r="N16" s="6"/>
      <c r="O16" s="6"/>
      <c r="P16" s="6"/>
      <c r="Q16" s="6"/>
    </row>
    <row r="17" spans="1:17" ht="21.95" hidden="1" customHeight="1">
      <c r="A17" s="6" t="str">
        <f>"FB-00" &amp; TEXT(ROW() - ROW(tblFeedback[[#Headers],[Feedback ID]]), "0;-0")</f>
        <v>FB-0013</v>
      </c>
      <c r="B17" s="7">
        <v>46258</v>
      </c>
      <c r="C17" s="6" t="s">
        <v>132</v>
      </c>
      <c r="D17" s="6" t="s">
        <v>83</v>
      </c>
      <c r="E17" s="6" t="s">
        <v>154</v>
      </c>
      <c r="F17" s="6" t="s">
        <v>155</v>
      </c>
      <c r="G17" s="6" t="s">
        <v>141</v>
      </c>
      <c r="H17" s="6" t="s">
        <v>41</v>
      </c>
      <c r="I17" s="6" t="s">
        <v>156</v>
      </c>
      <c r="J17" s="6"/>
      <c r="K17" s="6"/>
      <c r="L17" s="6"/>
      <c r="M17" s="6"/>
      <c r="N17" s="6"/>
      <c r="O17" s="6"/>
      <c r="P17" s="6"/>
      <c r="Q17" s="6"/>
    </row>
    <row r="18" spans="1:17" ht="21.95" hidden="1" customHeight="1">
      <c r="A18" s="6" t="str">
        <f>"FB-00" &amp; TEXT(ROW() - ROW(tblFeedback[[#Headers],[Feedback ID]]), "0;-0")</f>
        <v>FB-0014</v>
      </c>
      <c r="B18" s="7">
        <v>46258</v>
      </c>
      <c r="C18" s="6" t="s">
        <v>132</v>
      </c>
      <c r="D18" s="6" t="s">
        <v>83</v>
      </c>
      <c r="E18" s="6" t="s">
        <v>154</v>
      </c>
      <c r="F18" s="6" t="s">
        <v>155</v>
      </c>
      <c r="G18" s="6" t="s">
        <v>141</v>
      </c>
      <c r="H18" s="6" t="s">
        <v>41</v>
      </c>
      <c r="I18" s="6" t="s">
        <v>157</v>
      </c>
      <c r="J18" s="6"/>
      <c r="K18" s="6"/>
      <c r="L18" s="6"/>
      <c r="M18" s="6"/>
      <c r="N18" s="6"/>
      <c r="O18" s="6"/>
      <c r="P18" s="6"/>
      <c r="Q18" s="6"/>
    </row>
    <row r="19" spans="1:17" ht="75" customHeight="1">
      <c r="A19" s="6" t="str">
        <f>"FB-00" &amp; TEXT(ROW() - ROW(tblFeedback[[#Headers],[Feedback ID]]), "0;-0")</f>
        <v>FB-0015</v>
      </c>
      <c r="B19" s="7">
        <v>46259</v>
      </c>
      <c r="C19" s="6" t="s">
        <v>132</v>
      </c>
      <c r="D19" s="6" t="s">
        <v>86</v>
      </c>
      <c r="E19" s="6" t="s">
        <v>42</v>
      </c>
      <c r="F19" s="6" t="s">
        <v>158</v>
      </c>
      <c r="G19" s="6" t="s">
        <v>80</v>
      </c>
      <c r="H19" s="6" t="s">
        <v>47</v>
      </c>
      <c r="I19" s="6" t="s">
        <v>159</v>
      </c>
      <c r="J19" s="6"/>
      <c r="K19" s="6"/>
      <c r="L19" s="6"/>
      <c r="M19" s="6"/>
      <c r="N19" s="6"/>
      <c r="O19" s="6"/>
      <c r="P19" s="6"/>
      <c r="Q19" s="6" t="s">
        <v>160</v>
      </c>
    </row>
    <row r="20" spans="1:17" ht="50.25" customHeight="1">
      <c r="A20" s="6" t="str">
        <f>"FB-00" &amp; TEXT(ROW() - ROW(tblFeedback[[#Headers],[Feedback ID]]), "0;-0")</f>
        <v>FB-0016</v>
      </c>
      <c r="B20" s="7">
        <v>46259</v>
      </c>
      <c r="C20" s="6" t="s">
        <v>132</v>
      </c>
      <c r="D20" s="6" t="s">
        <v>86</v>
      </c>
      <c r="E20" s="6" t="s">
        <v>39</v>
      </c>
      <c r="F20" s="6" t="s">
        <v>161</v>
      </c>
      <c r="G20" s="6" t="s">
        <v>141</v>
      </c>
      <c r="H20" s="6" t="s">
        <v>47</v>
      </c>
      <c r="I20" s="6" t="s">
        <v>162</v>
      </c>
      <c r="J20" s="6"/>
      <c r="K20" s="6"/>
      <c r="L20" s="6"/>
      <c r="M20" s="6"/>
      <c r="N20" s="6"/>
      <c r="O20" s="6"/>
      <c r="P20" s="6"/>
      <c r="Q20" s="6" t="s">
        <v>163</v>
      </c>
    </row>
    <row r="21" spans="1:17" ht="62.25" customHeight="1">
      <c r="A21" s="6" t="str">
        <f>"FB-00" &amp; TEXT(ROW() - ROW(tblFeedback[[#Headers],[Feedback ID]]), "0;-0")</f>
        <v>FB-0017</v>
      </c>
      <c r="B21" s="7">
        <v>46259</v>
      </c>
      <c r="C21" s="6" t="s">
        <v>132</v>
      </c>
      <c r="D21" s="6" t="s">
        <v>86</v>
      </c>
      <c r="E21" s="6" t="s">
        <v>52</v>
      </c>
      <c r="F21" s="6" t="s">
        <v>161</v>
      </c>
      <c r="G21" s="6" t="s">
        <v>141</v>
      </c>
      <c r="H21" s="6" t="s">
        <v>47</v>
      </c>
      <c r="I21" s="6" t="s">
        <v>164</v>
      </c>
      <c r="J21" s="6"/>
      <c r="K21" s="6"/>
      <c r="L21" s="6"/>
      <c r="M21" s="6"/>
      <c r="N21" s="6"/>
      <c r="O21" s="6"/>
      <c r="P21" s="6"/>
      <c r="Q21" s="6"/>
    </row>
    <row r="22" spans="1:17" ht="21.95" customHeight="1">
      <c r="A22" s="6" t="str">
        <f>"FB-00" &amp; TEXT(ROW() - ROW(tblFeedback[[#Headers],[Feedback ID]]), "0;-0")</f>
        <v>FB-0018</v>
      </c>
      <c r="B22" s="7">
        <v>46259</v>
      </c>
      <c r="C22" s="6" t="s">
        <v>132</v>
      </c>
      <c r="D22" s="6" t="s">
        <v>86</v>
      </c>
      <c r="E22" s="6" t="s">
        <v>45</v>
      </c>
      <c r="F22" s="6" t="s">
        <v>161</v>
      </c>
      <c r="G22" s="6" t="s">
        <v>141</v>
      </c>
      <c r="H22" s="6" t="s">
        <v>47</v>
      </c>
      <c r="I22" s="6" t="s">
        <v>165</v>
      </c>
      <c r="J22" s="6"/>
      <c r="K22" s="6"/>
      <c r="L22" s="6"/>
      <c r="M22" s="6"/>
      <c r="N22" s="6"/>
      <c r="O22" s="6"/>
      <c r="P22" s="6"/>
      <c r="Q22" s="6"/>
    </row>
    <row r="23" spans="1:17" ht="60" customHeight="1">
      <c r="A23" s="6" t="str">
        <f>"FB-00" &amp; TEXT(ROW() - ROW(tblFeedback[[#Headers],[Feedback ID]]), "0;-0")</f>
        <v>FB-0019</v>
      </c>
      <c r="B23" s="7">
        <v>46259</v>
      </c>
      <c r="C23" s="6" t="s">
        <v>132</v>
      </c>
      <c r="D23" s="6" t="s">
        <v>86</v>
      </c>
      <c r="E23" s="6" t="s">
        <v>45</v>
      </c>
      <c r="F23" s="6" t="s">
        <v>161</v>
      </c>
      <c r="G23" s="6" t="s">
        <v>141</v>
      </c>
      <c r="H23" s="6" t="s">
        <v>47</v>
      </c>
      <c r="I23" s="6" t="s">
        <v>166</v>
      </c>
      <c r="J23" s="6"/>
      <c r="K23" s="6"/>
      <c r="L23" s="6"/>
      <c r="M23" s="6"/>
      <c r="N23" s="6"/>
      <c r="O23" s="6"/>
      <c r="P23" s="6"/>
      <c r="Q23" s="6" t="s">
        <v>167</v>
      </c>
    </row>
    <row r="24" spans="1:17" ht="61.5" customHeight="1">
      <c r="A24" s="6" t="str">
        <f>"FB-00" &amp; TEXT(ROW() - ROW(tblFeedback[[#Headers],[Feedback ID]]), "0;-0")</f>
        <v>FB-0020</v>
      </c>
      <c r="B24" s="7">
        <v>46259</v>
      </c>
      <c r="C24" s="6" t="s">
        <v>132</v>
      </c>
      <c r="D24" s="6" t="s">
        <v>86</v>
      </c>
      <c r="E24" s="6" t="s">
        <v>45</v>
      </c>
      <c r="F24" s="6" t="s">
        <v>161</v>
      </c>
      <c r="G24" s="6" t="s">
        <v>141</v>
      </c>
      <c r="H24" s="6" t="s">
        <v>47</v>
      </c>
      <c r="I24" s="6" t="s">
        <v>168</v>
      </c>
      <c r="J24" s="6"/>
      <c r="K24" s="6"/>
      <c r="L24" s="6"/>
      <c r="M24" s="6"/>
      <c r="N24" s="6"/>
      <c r="O24" s="6"/>
      <c r="P24" s="6"/>
      <c r="Q24" s="6" t="s">
        <v>169</v>
      </c>
    </row>
    <row r="25" spans="1:17" ht="120.75" customHeight="1">
      <c r="A25" s="6" t="str">
        <f>"FB-00" &amp; TEXT(ROW() - ROW(tblFeedback[[#Headers],[Feedback ID]]), "0;-0")</f>
        <v>FB-0021</v>
      </c>
      <c r="B25" s="7">
        <v>46259</v>
      </c>
      <c r="C25" s="6" t="s">
        <v>132</v>
      </c>
      <c r="D25" s="6" t="s">
        <v>86</v>
      </c>
      <c r="E25" s="6" t="s">
        <v>45</v>
      </c>
      <c r="F25" s="6" t="s">
        <v>161</v>
      </c>
      <c r="G25" s="6" t="s">
        <v>141</v>
      </c>
      <c r="H25" s="6" t="s">
        <v>47</v>
      </c>
      <c r="I25" s="6" t="s">
        <v>170</v>
      </c>
      <c r="J25" s="6"/>
      <c r="K25" s="6"/>
      <c r="L25" s="6"/>
      <c r="M25" s="6"/>
      <c r="N25" s="6"/>
      <c r="O25" s="6"/>
      <c r="P25" s="6"/>
      <c r="Q25" s="6" t="s">
        <v>160</v>
      </c>
    </row>
    <row r="26" spans="1:17" ht="117.75" customHeight="1">
      <c r="A26" s="6" t="str">
        <f>"FB-00" &amp; TEXT(ROW() - ROW(tblFeedback[[#Headers],[Feedback ID]]), "0;-0")</f>
        <v>FB-0022</v>
      </c>
      <c r="B26" s="7">
        <v>46261</v>
      </c>
      <c r="C26" s="6" t="s">
        <v>132</v>
      </c>
      <c r="D26" s="6" t="s">
        <v>86</v>
      </c>
      <c r="E26" s="6" t="s">
        <v>45</v>
      </c>
      <c r="F26" s="6" t="s">
        <v>133</v>
      </c>
      <c r="G26" s="6" t="s">
        <v>141</v>
      </c>
      <c r="H26" s="6" t="s">
        <v>47</v>
      </c>
      <c r="I26" s="6" t="s">
        <v>171</v>
      </c>
      <c r="J26" s="6"/>
      <c r="K26" s="6"/>
      <c r="L26" s="6"/>
      <c r="M26" s="6"/>
      <c r="N26" s="6"/>
      <c r="O26" s="6"/>
      <c r="P26" s="6"/>
      <c r="Q26" s="6" t="s">
        <v>172</v>
      </c>
    </row>
    <row r="27" spans="1:17" ht="42" customHeight="1">
      <c r="A27" s="6" t="str">
        <f>"FB-00" &amp; TEXT(ROW() - ROW(tblFeedback[[#Headers],[Feedback ID]]), "0;-0")</f>
        <v>FB-0023</v>
      </c>
      <c r="B27" s="7">
        <v>46261</v>
      </c>
      <c r="C27" s="6" t="s">
        <v>132</v>
      </c>
      <c r="D27" s="6" t="s">
        <v>86</v>
      </c>
      <c r="E27" s="6" t="s">
        <v>45</v>
      </c>
      <c r="F27" s="6" t="s">
        <v>133</v>
      </c>
      <c r="G27" s="6" t="s">
        <v>141</v>
      </c>
      <c r="H27" s="6" t="s">
        <v>47</v>
      </c>
      <c r="I27" s="6" t="s">
        <v>173</v>
      </c>
      <c r="J27" s="6"/>
      <c r="K27" s="6"/>
      <c r="L27" s="6"/>
      <c r="M27" s="6"/>
      <c r="N27" s="6"/>
      <c r="O27" s="6"/>
      <c r="P27" s="6"/>
      <c r="Q27" s="6"/>
    </row>
    <row r="28" spans="1:17" ht="45.75" hidden="1">
      <c r="A28" s="6" t="str">
        <f>"FB-00" &amp; TEXT(ROW() - ROW(tblFeedback[[#Headers],[Feedback ID]]), "0;-0")</f>
        <v>FB-0024</v>
      </c>
      <c r="B28" s="7">
        <v>46261</v>
      </c>
      <c r="C28" s="6" t="s">
        <v>132</v>
      </c>
      <c r="D28" s="6" t="s">
        <v>174</v>
      </c>
      <c r="E28" s="6" t="s">
        <v>175</v>
      </c>
      <c r="F28" s="6"/>
      <c r="G28" s="6" t="s">
        <v>137</v>
      </c>
      <c r="H28" s="6" t="s">
        <v>47</v>
      </c>
      <c r="I28" s="6" t="s">
        <v>176</v>
      </c>
      <c r="J28" s="6"/>
      <c r="K28" s="6"/>
      <c r="L28" s="6"/>
      <c r="M28" s="6"/>
      <c r="N28" s="6"/>
      <c r="O28" s="6"/>
      <c r="P28" s="6"/>
      <c r="Q28" s="6"/>
    </row>
    <row r="29" spans="1:17" ht="48" customHeight="1">
      <c r="A29" s="6" t="str">
        <f>"FB-00" &amp; TEXT(ROW() - ROW(tblFeedback[[#Headers],[Feedback ID]]), "0;-0")</f>
        <v>FB-0025</v>
      </c>
      <c r="B29" s="7">
        <v>46261</v>
      </c>
      <c r="C29" s="6" t="s">
        <v>132</v>
      </c>
      <c r="D29" s="6" t="s">
        <v>86</v>
      </c>
      <c r="E29" s="6" t="s">
        <v>45</v>
      </c>
      <c r="F29" s="6" t="s">
        <v>133</v>
      </c>
      <c r="G29" s="6" t="s">
        <v>141</v>
      </c>
      <c r="H29" s="6" t="s">
        <v>47</v>
      </c>
      <c r="I29" s="6" t="s">
        <v>177</v>
      </c>
      <c r="J29" s="6"/>
      <c r="K29" s="6"/>
      <c r="L29" s="6"/>
      <c r="M29" s="6"/>
      <c r="N29" s="6"/>
      <c r="O29" s="6"/>
      <c r="P29" s="6"/>
      <c r="Q29" s="6" t="s">
        <v>178</v>
      </c>
    </row>
    <row r="30" spans="1:17" ht="30.75" hidden="1">
      <c r="A30" s="6" t="str">
        <f>"FB-00" &amp; TEXT(ROW() - ROW(tblFeedback[[#Headers],[Feedback ID]]), "0;-0")</f>
        <v>FB-0026</v>
      </c>
      <c r="B30" s="7">
        <v>46261</v>
      </c>
      <c r="C30" s="6" t="s">
        <v>132</v>
      </c>
      <c r="D30" s="6" t="s">
        <v>174</v>
      </c>
      <c r="E30" s="6" t="s">
        <v>175</v>
      </c>
      <c r="F30" s="6" t="s">
        <v>161</v>
      </c>
      <c r="G30" s="6" t="s">
        <v>141</v>
      </c>
      <c r="H30" s="6" t="s">
        <v>47</v>
      </c>
      <c r="I30" s="6" t="s">
        <v>179</v>
      </c>
      <c r="J30" s="6"/>
      <c r="K30" s="6"/>
      <c r="L30" s="7"/>
      <c r="M30" s="6"/>
      <c r="N30" s="6"/>
      <c r="O30" s="6"/>
      <c r="P30" s="6"/>
      <c r="Q30" s="6"/>
    </row>
    <row r="31" spans="1:17" ht="75.75" customHeight="1">
      <c r="A31" s="6" t="str">
        <f>"FB-00" &amp; TEXT(ROW() - ROW(tblFeedback[[#Headers],[Feedback ID]]), "0;-0")</f>
        <v>FB-0027</v>
      </c>
      <c r="B31" s="7">
        <v>46261</v>
      </c>
      <c r="C31" s="6" t="s">
        <v>132</v>
      </c>
      <c r="D31" s="6" t="s">
        <v>86</v>
      </c>
      <c r="E31" s="6" t="s">
        <v>45</v>
      </c>
      <c r="F31" s="6" t="s">
        <v>133</v>
      </c>
      <c r="G31" s="6" t="s">
        <v>141</v>
      </c>
      <c r="H31" s="6" t="s">
        <v>47</v>
      </c>
      <c r="I31" s="6" t="s">
        <v>180</v>
      </c>
      <c r="J31" s="6"/>
      <c r="K31" s="6"/>
      <c r="L31" s="6"/>
      <c r="M31" s="6"/>
      <c r="N31" s="6"/>
      <c r="O31" s="6"/>
      <c r="P31" s="6"/>
      <c r="Q31" s="6" t="s">
        <v>181</v>
      </c>
    </row>
    <row r="32" spans="1:17" ht="30.75" hidden="1">
      <c r="A32" s="6" t="str">
        <f>"FB-00" &amp; TEXT(ROW() - ROW(tblFeedback[[#Headers],[Feedback ID]]), "0;-0")</f>
        <v>FB-0028</v>
      </c>
      <c r="B32" s="7">
        <v>46261</v>
      </c>
      <c r="C32" s="6" t="s">
        <v>132</v>
      </c>
      <c r="D32" s="6" t="s">
        <v>174</v>
      </c>
      <c r="E32" s="6" t="s">
        <v>175</v>
      </c>
      <c r="F32" s="6" t="s">
        <v>161</v>
      </c>
      <c r="G32" s="6" t="s">
        <v>141</v>
      </c>
      <c r="H32" s="6" t="s">
        <v>44</v>
      </c>
      <c r="I32" s="6" t="s">
        <v>182</v>
      </c>
      <c r="J32" s="6"/>
      <c r="K32" s="6"/>
      <c r="L32" s="6"/>
      <c r="M32" s="6"/>
      <c r="N32" s="6"/>
      <c r="O32" s="6"/>
      <c r="P32" s="6"/>
      <c r="Q32" s="6"/>
    </row>
    <row r="33" spans="1:17" ht="57.75" customHeight="1">
      <c r="A33" s="6" t="str">
        <f>"FB-00" &amp; TEXT(ROW() - ROW(tblFeedback[[#Headers],[Feedback ID]]), "0;-0")</f>
        <v>FB-0029</v>
      </c>
      <c r="B33" s="7">
        <v>46261</v>
      </c>
      <c r="C33" s="6" t="s">
        <v>132</v>
      </c>
      <c r="D33" s="6" t="s">
        <v>86</v>
      </c>
      <c r="E33" s="6" t="s">
        <v>45</v>
      </c>
      <c r="F33" s="6" t="s">
        <v>114</v>
      </c>
      <c r="G33" s="6" t="s">
        <v>141</v>
      </c>
      <c r="H33" s="6" t="s">
        <v>47</v>
      </c>
      <c r="I33" s="6" t="s">
        <v>183</v>
      </c>
      <c r="J33" s="6"/>
      <c r="K33" s="6"/>
      <c r="L33" s="6"/>
      <c r="M33" s="6"/>
      <c r="N33" s="6"/>
      <c r="O33" s="6"/>
      <c r="P33" s="6"/>
      <c r="Q33" s="6" t="s">
        <v>181</v>
      </c>
    </row>
    <row r="34" spans="1:17" ht="48.75" customHeight="1">
      <c r="A34" s="6" t="str">
        <f>"FB-00" &amp; TEXT(ROW() - ROW(tblFeedback[[#Headers],[Feedback ID]]), "0;-0")</f>
        <v>FB-0030</v>
      </c>
      <c r="B34" s="7">
        <v>46261</v>
      </c>
      <c r="C34" s="6" t="s">
        <v>132</v>
      </c>
      <c r="D34" s="6" t="s">
        <v>86</v>
      </c>
      <c r="E34" s="6" t="s">
        <v>45</v>
      </c>
      <c r="F34" s="6" t="s">
        <v>133</v>
      </c>
      <c r="G34" s="6" t="s">
        <v>141</v>
      </c>
      <c r="H34" s="6" t="s">
        <v>47</v>
      </c>
      <c r="I34" s="6" t="s">
        <v>184</v>
      </c>
      <c r="J34" s="6"/>
      <c r="K34" s="6"/>
      <c r="L34" s="6"/>
      <c r="M34" s="6"/>
      <c r="N34" s="6"/>
      <c r="O34" s="6"/>
      <c r="P34" s="6"/>
      <c r="Q34" s="6"/>
    </row>
    <row r="35" spans="1:17" ht="36" customHeight="1">
      <c r="A35" s="6" t="str">
        <f>"FB-00" &amp; TEXT(ROW() - ROW(tblFeedback[[#Headers],[Feedback ID]]), "0;-0")</f>
        <v>FB-0031</v>
      </c>
      <c r="B35" s="7">
        <v>46261</v>
      </c>
      <c r="C35" s="6" t="s">
        <v>132</v>
      </c>
      <c r="D35" s="6" t="s">
        <v>86</v>
      </c>
      <c r="E35" s="6" t="s">
        <v>45</v>
      </c>
      <c r="F35" s="6" t="s">
        <v>136</v>
      </c>
      <c r="G35" s="6" t="s">
        <v>141</v>
      </c>
      <c r="H35" s="6" t="s">
        <v>47</v>
      </c>
      <c r="I35" s="6" t="s">
        <v>185</v>
      </c>
      <c r="J35" s="6"/>
      <c r="K35" s="6"/>
      <c r="L35" s="6"/>
      <c r="M35" s="6"/>
      <c r="N35" s="6"/>
      <c r="O35" s="6"/>
      <c r="P35" s="6"/>
      <c r="Q35" s="6" t="s">
        <v>160</v>
      </c>
    </row>
    <row r="36" spans="1:17" ht="66.75" customHeight="1">
      <c r="A36" s="6" t="str">
        <f>"FB-00" &amp; TEXT(ROW() - ROW(tblFeedback[[#Headers],[Feedback ID]]), "0;-0")</f>
        <v>FB-0032</v>
      </c>
      <c r="B36" s="7">
        <v>46261</v>
      </c>
      <c r="C36" s="6" t="s">
        <v>132</v>
      </c>
      <c r="D36" s="6" t="s">
        <v>86</v>
      </c>
      <c r="E36" s="6" t="s">
        <v>45</v>
      </c>
      <c r="F36" s="6" t="s">
        <v>136</v>
      </c>
      <c r="G36" s="6" t="s">
        <v>141</v>
      </c>
      <c r="H36" s="6" t="s">
        <v>47</v>
      </c>
      <c r="I36" s="6" t="s">
        <v>186</v>
      </c>
      <c r="J36" s="6"/>
      <c r="K36" s="6"/>
      <c r="L36" s="6"/>
      <c r="M36" s="6"/>
      <c r="N36" s="6"/>
      <c r="O36" s="6"/>
      <c r="P36" s="6"/>
      <c r="Q36" s="6" t="s">
        <v>160</v>
      </c>
    </row>
    <row r="37" spans="1:17" ht="21.95" customHeight="1">
      <c r="A37" s="6" t="str">
        <f>"FB-00" &amp; TEXT(ROW() - ROW(tblFeedback[[#Headers],[Feedback ID]]), "0;-0")</f>
        <v>FB-0033</v>
      </c>
      <c r="B37" s="7">
        <v>46261</v>
      </c>
      <c r="C37" s="6" t="s">
        <v>132</v>
      </c>
      <c r="D37" s="6" t="s">
        <v>86</v>
      </c>
      <c r="E37" s="6" t="s">
        <v>45</v>
      </c>
      <c r="F37" s="6" t="s">
        <v>114</v>
      </c>
      <c r="G37" s="6" t="s">
        <v>141</v>
      </c>
      <c r="H37" s="6" t="s">
        <v>47</v>
      </c>
      <c r="I37" s="6" t="s">
        <v>187</v>
      </c>
      <c r="J37" s="6"/>
      <c r="K37" s="6"/>
      <c r="L37" s="6"/>
      <c r="M37" s="6"/>
      <c r="N37" s="6"/>
      <c r="O37" s="6"/>
      <c r="P37" s="6"/>
      <c r="Q37" s="6" t="s">
        <v>160</v>
      </c>
    </row>
    <row r="38" spans="1:17" ht="44.25" customHeight="1">
      <c r="A38" s="6" t="str">
        <f>"FB-00" &amp; TEXT(ROW() - ROW(tblFeedback[[#Headers],[Feedback ID]]), "0;-0")</f>
        <v>FB-0034</v>
      </c>
      <c r="B38" s="7">
        <v>46261</v>
      </c>
      <c r="C38" s="6" t="s">
        <v>132</v>
      </c>
      <c r="D38" s="6" t="s">
        <v>86</v>
      </c>
      <c r="E38" s="6" t="s">
        <v>84</v>
      </c>
      <c r="F38" s="6" t="s">
        <v>188</v>
      </c>
      <c r="G38" s="6" t="s">
        <v>141</v>
      </c>
      <c r="H38" s="6" t="s">
        <v>47</v>
      </c>
      <c r="I38" s="6" t="s">
        <v>189</v>
      </c>
      <c r="J38" s="6"/>
      <c r="K38" s="6"/>
      <c r="L38" s="6"/>
      <c r="M38" s="6"/>
      <c r="N38" s="6"/>
      <c r="O38" s="6"/>
      <c r="P38" s="6"/>
      <c r="Q38" s="6" t="s">
        <v>160</v>
      </c>
    </row>
    <row r="39" spans="1:17" ht="42.75" customHeight="1">
      <c r="A39" s="6" t="str">
        <f>"FB-00" &amp; TEXT(ROW() - ROW(tblFeedback[[#Headers],[Feedback ID]]), "0;-0")</f>
        <v>FB-0035</v>
      </c>
      <c r="B39" s="7">
        <v>46261</v>
      </c>
      <c r="C39" s="6" t="s">
        <v>132</v>
      </c>
      <c r="D39" s="6" t="s">
        <v>86</v>
      </c>
      <c r="E39" s="6" t="s">
        <v>84</v>
      </c>
      <c r="F39" s="6" t="s">
        <v>188</v>
      </c>
      <c r="G39" s="6" t="s">
        <v>141</v>
      </c>
      <c r="H39" s="6" t="s">
        <v>47</v>
      </c>
      <c r="I39" s="6" t="s">
        <v>190</v>
      </c>
      <c r="J39" s="6"/>
      <c r="K39" s="6"/>
      <c r="L39" s="6"/>
      <c r="M39" s="6"/>
      <c r="N39" s="6"/>
      <c r="O39" s="6"/>
      <c r="P39" s="6"/>
      <c r="Q39" s="6" t="s">
        <v>191</v>
      </c>
    </row>
    <row r="40" spans="1:17" ht="72" customHeight="1">
      <c r="A40" s="6" t="str">
        <f>"FB-00" &amp; TEXT(ROW() - ROW(tblFeedback[[#Headers],[Feedback ID]]), "0;-0")</f>
        <v>FB-0036</v>
      </c>
      <c r="B40" s="7">
        <v>46261</v>
      </c>
      <c r="C40" s="6" t="s">
        <v>132</v>
      </c>
      <c r="D40" s="6" t="s">
        <v>86</v>
      </c>
      <c r="E40" s="6" t="s">
        <v>42</v>
      </c>
      <c r="F40" s="6" t="s">
        <v>192</v>
      </c>
      <c r="G40" s="6" t="s">
        <v>193</v>
      </c>
      <c r="H40" s="6" t="s">
        <v>47</v>
      </c>
      <c r="I40" s="6" t="s">
        <v>194</v>
      </c>
      <c r="J40" s="6"/>
      <c r="K40" s="6"/>
      <c r="L40" s="6"/>
      <c r="M40" s="6"/>
      <c r="N40" s="6"/>
      <c r="O40" s="6"/>
      <c r="P40" s="6"/>
      <c r="Q40" s="6" t="s">
        <v>160</v>
      </c>
    </row>
    <row r="41" spans="1:17" ht="65.25" customHeight="1">
      <c r="A41" s="6" t="str">
        <f>"FB-00" &amp; TEXT(ROW() - ROW(tblFeedback[[#Headers],[Feedback ID]]), "0;-0")</f>
        <v>FB-0037</v>
      </c>
      <c r="B41" s="7">
        <v>46261</v>
      </c>
      <c r="C41" s="6" t="s">
        <v>132</v>
      </c>
      <c r="D41" s="6" t="s">
        <v>86</v>
      </c>
      <c r="E41" s="6" t="s">
        <v>42</v>
      </c>
      <c r="F41" s="6" t="s">
        <v>192</v>
      </c>
      <c r="G41" s="6" t="s">
        <v>193</v>
      </c>
      <c r="H41" s="6" t="s">
        <v>47</v>
      </c>
      <c r="I41" s="6" t="s">
        <v>195</v>
      </c>
      <c r="J41" s="6"/>
      <c r="K41" s="6"/>
      <c r="L41" s="6"/>
      <c r="M41" s="6"/>
      <c r="N41" s="6"/>
      <c r="O41" s="6"/>
      <c r="P41" s="6"/>
      <c r="Q41" s="6" t="s">
        <v>196</v>
      </c>
    </row>
    <row r="42" spans="1:17" ht="21.95" customHeight="1">
      <c r="A42" s="6" t="str">
        <f>"FB-00" &amp; TEXT(ROW() - ROW(tblFeedback[[#Headers],[Feedback ID]]), "0;-0")</f>
        <v>FB-0038</v>
      </c>
      <c r="B42" s="7">
        <v>46261</v>
      </c>
      <c r="C42" s="6" t="s">
        <v>132</v>
      </c>
      <c r="D42" s="6" t="s">
        <v>86</v>
      </c>
      <c r="E42" s="6" t="s">
        <v>61</v>
      </c>
      <c r="F42" s="6" t="s">
        <v>133</v>
      </c>
      <c r="G42" s="6" t="s">
        <v>134</v>
      </c>
      <c r="H42" s="6" t="s">
        <v>47</v>
      </c>
      <c r="I42" s="6" t="s">
        <v>197</v>
      </c>
      <c r="J42" s="6"/>
      <c r="K42" s="6"/>
      <c r="L42" s="6"/>
      <c r="M42" s="6"/>
      <c r="N42" s="6"/>
      <c r="O42" s="6"/>
      <c r="P42" s="6"/>
      <c r="Q42" s="6"/>
    </row>
    <row r="43" spans="1:17" ht="51.75" customHeight="1">
      <c r="A43" s="6" t="str">
        <f>"FB-00" &amp; TEXT(ROW() - ROW(tblFeedback[[#Headers],[Feedback ID]]), "0;-0")</f>
        <v>FB-0039</v>
      </c>
      <c r="B43" s="7">
        <v>46261</v>
      </c>
      <c r="C43" s="6" t="s">
        <v>132</v>
      </c>
      <c r="D43" s="6" t="s">
        <v>86</v>
      </c>
      <c r="E43" s="6" t="s">
        <v>61</v>
      </c>
      <c r="F43" s="6" t="s">
        <v>133</v>
      </c>
      <c r="G43" s="6" t="s">
        <v>141</v>
      </c>
      <c r="H43" s="6" t="s">
        <v>47</v>
      </c>
      <c r="I43" s="6" t="s">
        <v>198</v>
      </c>
      <c r="J43" s="6"/>
      <c r="K43" s="6"/>
      <c r="L43" s="6"/>
      <c r="M43" s="6"/>
      <c r="N43" s="6"/>
      <c r="O43" s="6"/>
      <c r="P43" s="6"/>
      <c r="Q43" s="6" t="s">
        <v>199</v>
      </c>
    </row>
    <row r="44" spans="1:17" ht="45.75" customHeight="1">
      <c r="A44" s="6" t="str">
        <f>"FB-00" &amp; TEXT(ROW() - ROW(tblFeedback[[#Headers],[Feedback ID]]), "0;-0")</f>
        <v>FB-0040</v>
      </c>
      <c r="B44" s="7">
        <v>46261</v>
      </c>
      <c r="C44" s="6" t="s">
        <v>132</v>
      </c>
      <c r="D44" s="6" t="s">
        <v>86</v>
      </c>
      <c r="E44" s="6" t="s">
        <v>61</v>
      </c>
      <c r="F44" s="6" t="s">
        <v>133</v>
      </c>
      <c r="G44" s="6" t="s">
        <v>141</v>
      </c>
      <c r="H44" s="6" t="s">
        <v>47</v>
      </c>
      <c r="I44" s="6" t="s">
        <v>200</v>
      </c>
      <c r="J44" s="6"/>
      <c r="K44" s="6"/>
      <c r="L44" s="6"/>
      <c r="M44" s="6"/>
      <c r="N44" s="6"/>
      <c r="O44" s="6"/>
      <c r="P44" s="6"/>
      <c r="Q44" s="6" t="s">
        <v>201</v>
      </c>
    </row>
    <row r="45" spans="1:17" ht="51.75" customHeight="1">
      <c r="A45" s="6" t="str">
        <f>"FB-00" &amp; TEXT(ROW() - ROW(tblFeedback[[#Headers],[Feedback ID]]), "0;-0")</f>
        <v>FB-0041</v>
      </c>
      <c r="B45" s="7">
        <v>46261</v>
      </c>
      <c r="C45" s="6" t="s">
        <v>132</v>
      </c>
      <c r="D45" s="6" t="s">
        <v>86</v>
      </c>
      <c r="E45" s="6" t="s">
        <v>61</v>
      </c>
      <c r="F45" s="6" t="s">
        <v>133</v>
      </c>
      <c r="G45" s="6" t="s">
        <v>141</v>
      </c>
      <c r="H45" s="6" t="s">
        <v>47</v>
      </c>
      <c r="I45" s="6" t="s">
        <v>202</v>
      </c>
      <c r="J45" s="6"/>
      <c r="K45" s="6"/>
      <c r="L45" s="6"/>
      <c r="M45" s="6"/>
      <c r="N45" s="6"/>
      <c r="O45" s="6"/>
      <c r="P45" s="6"/>
      <c r="Q45" s="6" t="s">
        <v>203</v>
      </c>
    </row>
    <row r="46" spans="1:17" ht="30.75" hidden="1">
      <c r="A46" s="6" t="str">
        <f>"FB-00" &amp; TEXT(ROW() - ROW(tblFeedback[[#Headers],[Feedback ID]]), "0;-0")</f>
        <v>FB-0042</v>
      </c>
      <c r="B46" s="7">
        <v>46262</v>
      </c>
      <c r="C46" s="6" t="s">
        <v>132</v>
      </c>
      <c r="D46" s="6" t="s">
        <v>174</v>
      </c>
      <c r="E46" s="6" t="s">
        <v>175</v>
      </c>
      <c r="F46" s="6" t="s">
        <v>161</v>
      </c>
      <c r="G46" s="6" t="s">
        <v>141</v>
      </c>
      <c r="H46" s="6" t="s">
        <v>44</v>
      </c>
      <c r="I46" s="6" t="s">
        <v>204</v>
      </c>
      <c r="J46" s="6"/>
      <c r="K46" s="6"/>
      <c r="L46" s="6"/>
      <c r="M46" s="6"/>
      <c r="N46" s="6"/>
      <c r="O46" s="6"/>
      <c r="P46" s="6"/>
      <c r="Q46" s="6"/>
    </row>
    <row r="47" spans="1:17" ht="23.25" hidden="1" customHeight="1">
      <c r="A47" s="6" t="str">
        <f>"FB-00" &amp; TEXT(ROW() - ROW(tblFeedback[[#Headers],[Feedback ID]]), "0;-0")</f>
        <v>FB-0043</v>
      </c>
      <c r="B47" s="7">
        <v>46262</v>
      </c>
      <c r="C47" s="6" t="s">
        <v>132</v>
      </c>
      <c r="D47" s="6" t="s">
        <v>174</v>
      </c>
      <c r="E47" s="6" t="s">
        <v>175</v>
      </c>
      <c r="F47" s="6" t="s">
        <v>161</v>
      </c>
      <c r="G47" s="6" t="s">
        <v>141</v>
      </c>
      <c r="H47" s="6" t="s">
        <v>44</v>
      </c>
      <c r="I47" s="6" t="s">
        <v>205</v>
      </c>
      <c r="J47" s="6"/>
      <c r="K47" s="6"/>
      <c r="L47" s="6"/>
      <c r="M47" s="6"/>
      <c r="N47" s="6"/>
      <c r="O47" s="6"/>
      <c r="P47" s="6"/>
      <c r="Q47" s="6"/>
    </row>
    <row r="48" spans="1:17" ht="42.75" customHeight="1">
      <c r="A48" s="6" t="str">
        <f>"FB-00" &amp; TEXT(ROW() - ROW(tblFeedback[[#Headers],[Feedback ID]]), "0;-0")</f>
        <v>FB-0044</v>
      </c>
      <c r="B48" s="7">
        <v>46265</v>
      </c>
      <c r="C48" s="6" t="s">
        <v>132</v>
      </c>
      <c r="D48" s="6" t="s">
        <v>86</v>
      </c>
      <c r="E48" s="6" t="s">
        <v>52</v>
      </c>
      <c r="F48" s="6" t="s">
        <v>114</v>
      </c>
      <c r="G48" s="6" t="s">
        <v>134</v>
      </c>
      <c r="H48" s="6" t="s">
        <v>47</v>
      </c>
      <c r="I48" s="6" t="s">
        <v>206</v>
      </c>
      <c r="J48" s="6"/>
      <c r="K48" s="6"/>
      <c r="L48" s="6"/>
      <c r="M48" s="6"/>
      <c r="N48" s="6"/>
      <c r="O48" s="6"/>
      <c r="P48" s="6"/>
      <c r="Q48" s="6" t="s">
        <v>199</v>
      </c>
    </row>
    <row r="49" spans="1:17" ht="51.75" customHeight="1">
      <c r="A49" s="6" t="str">
        <f>"FB-00" &amp; TEXT(ROW() - ROW(tblFeedback[[#Headers],[Feedback ID]]), "0;-0")</f>
        <v>FB-0045</v>
      </c>
      <c r="B49" s="7">
        <v>46265</v>
      </c>
      <c r="C49" s="6" t="s">
        <v>132</v>
      </c>
      <c r="D49" s="6" t="s">
        <v>86</v>
      </c>
      <c r="E49" s="6" t="s">
        <v>52</v>
      </c>
      <c r="F49" s="6" t="s">
        <v>114</v>
      </c>
      <c r="G49" s="6" t="s">
        <v>193</v>
      </c>
      <c r="H49" s="6" t="s">
        <v>47</v>
      </c>
      <c r="I49" s="6" t="s">
        <v>207</v>
      </c>
      <c r="J49" s="6"/>
      <c r="K49" s="6"/>
      <c r="L49" s="6"/>
      <c r="M49" s="6"/>
      <c r="N49" s="6"/>
      <c r="O49" s="6"/>
      <c r="P49" s="6"/>
      <c r="Q49" s="6" t="s">
        <v>208</v>
      </c>
    </row>
    <row r="50" spans="1:17" ht="38.25" customHeight="1">
      <c r="A50" s="6" t="str">
        <f>"FB-00" &amp; TEXT(ROW() - ROW(tblFeedback[[#Headers],[Feedback ID]]), "0;-0")</f>
        <v>FB-0046</v>
      </c>
      <c r="B50" s="7">
        <v>46265</v>
      </c>
      <c r="C50" s="6" t="s">
        <v>132</v>
      </c>
      <c r="D50" s="6" t="s">
        <v>86</v>
      </c>
      <c r="E50" s="6" t="s">
        <v>52</v>
      </c>
      <c r="F50" s="6" t="s">
        <v>114</v>
      </c>
      <c r="G50" s="6" t="s">
        <v>193</v>
      </c>
      <c r="H50" s="6" t="s">
        <v>47</v>
      </c>
      <c r="I50" s="6" t="s">
        <v>209</v>
      </c>
      <c r="J50" s="6"/>
      <c r="K50" s="6"/>
      <c r="L50" s="6"/>
      <c r="M50" s="6"/>
      <c r="N50" s="6"/>
      <c r="O50" s="6"/>
      <c r="P50" s="6"/>
      <c r="Q50" s="6" t="s">
        <v>210</v>
      </c>
    </row>
    <row r="51" spans="1:17" ht="37.5" customHeight="1">
      <c r="A51" s="6" t="str">
        <f>"FB-00" &amp; TEXT(ROW() - ROW(tblFeedback[[#Headers],[Feedback ID]]), "0;-0")</f>
        <v>FB-0047</v>
      </c>
      <c r="B51" s="7">
        <v>46265</v>
      </c>
      <c r="C51" s="6" t="s">
        <v>132</v>
      </c>
      <c r="D51" s="6" t="s">
        <v>86</v>
      </c>
      <c r="E51" s="6" t="s">
        <v>50</v>
      </c>
      <c r="F51" s="6" t="s">
        <v>211</v>
      </c>
      <c r="G51" s="6" t="s">
        <v>134</v>
      </c>
      <c r="H51" s="6" t="s">
        <v>44</v>
      </c>
      <c r="I51" s="6" t="s">
        <v>212</v>
      </c>
      <c r="J51" s="6"/>
      <c r="K51" s="6"/>
      <c r="L51" s="6"/>
      <c r="M51" s="6"/>
      <c r="N51" s="6"/>
      <c r="O51" s="6"/>
      <c r="P51" s="6"/>
      <c r="Q51" s="6" t="s">
        <v>213</v>
      </c>
    </row>
    <row r="52" spans="1:17" ht="44.25" customHeight="1">
      <c r="A52" s="6" t="str">
        <f>"FB-00" &amp; TEXT(ROW() - ROW(tblFeedback[[#Headers],[Feedback ID]]), "0;-0")</f>
        <v>FB-0048</v>
      </c>
      <c r="B52" s="7">
        <v>46265</v>
      </c>
      <c r="C52" s="6" t="s">
        <v>132</v>
      </c>
      <c r="D52" s="6" t="s">
        <v>86</v>
      </c>
      <c r="E52" s="6" t="s">
        <v>50</v>
      </c>
      <c r="F52" s="6" t="s">
        <v>211</v>
      </c>
      <c r="G52" s="6" t="s">
        <v>141</v>
      </c>
      <c r="H52" s="6" t="s">
        <v>44</v>
      </c>
      <c r="I52" s="6" t="s">
        <v>214</v>
      </c>
      <c r="J52" s="6"/>
      <c r="K52" s="6"/>
      <c r="L52" s="6"/>
      <c r="M52" s="6"/>
      <c r="N52" s="6"/>
      <c r="O52" s="6"/>
      <c r="P52" s="6"/>
      <c r="Q52" s="6" t="s">
        <v>213</v>
      </c>
    </row>
    <row r="53" spans="1:17" ht="21.95" customHeight="1">
      <c r="A53" s="6" t="str">
        <f>"FB-00" &amp; TEXT(ROW() - ROW(tblFeedback[[#Headers],[Feedback ID]]), "0;-0")</f>
        <v>FB-0049</v>
      </c>
      <c r="B53" s="7">
        <v>46265</v>
      </c>
      <c r="C53" s="6" t="s">
        <v>132</v>
      </c>
      <c r="D53" s="6" t="s">
        <v>86</v>
      </c>
      <c r="E53" s="6" t="s">
        <v>50</v>
      </c>
      <c r="F53" s="6" t="s">
        <v>211</v>
      </c>
      <c r="G53" s="6" t="s">
        <v>134</v>
      </c>
      <c r="H53" s="6" t="s">
        <v>47</v>
      </c>
      <c r="I53" s="6" t="s">
        <v>215</v>
      </c>
      <c r="J53" s="6"/>
      <c r="K53" s="6"/>
      <c r="L53" s="6"/>
      <c r="M53" s="6"/>
      <c r="N53" s="6"/>
      <c r="O53" s="6"/>
      <c r="P53" s="6"/>
      <c r="Q53" s="6" t="s">
        <v>213</v>
      </c>
    </row>
    <row r="54" spans="1:17" ht="61.5" customHeight="1">
      <c r="A54" s="6" t="str">
        <f>"FB-00" &amp; TEXT(ROW() - ROW(tblFeedback[[#Headers],[Feedback ID]]), "0;-0")</f>
        <v>FB-0050</v>
      </c>
      <c r="B54" s="7">
        <v>46265</v>
      </c>
      <c r="C54" s="6" t="s">
        <v>132</v>
      </c>
      <c r="D54" s="6" t="s">
        <v>86</v>
      </c>
      <c r="E54" s="6" t="s">
        <v>84</v>
      </c>
      <c r="F54" s="6" t="s">
        <v>216</v>
      </c>
      <c r="G54" s="6" t="s">
        <v>141</v>
      </c>
      <c r="H54" s="6" t="s">
        <v>47</v>
      </c>
      <c r="I54" s="6" t="s">
        <v>217</v>
      </c>
      <c r="J54" s="6"/>
      <c r="K54" s="6"/>
      <c r="L54" s="6"/>
      <c r="M54" s="6"/>
      <c r="N54" s="6"/>
      <c r="O54" s="6"/>
      <c r="P54" s="6"/>
      <c r="Q54" s="6" t="s">
        <v>218</v>
      </c>
    </row>
    <row r="55" spans="1:17" ht="36.75" customHeight="1">
      <c r="A55" s="6" t="str">
        <f>"FB-00" &amp; TEXT(ROW() - ROW(tblFeedback[[#Headers],[Feedback ID]]), "0;-0")</f>
        <v>FB-0051</v>
      </c>
      <c r="B55" s="7">
        <v>46265</v>
      </c>
      <c r="C55" s="6" t="s">
        <v>132</v>
      </c>
      <c r="D55" s="6" t="s">
        <v>86</v>
      </c>
      <c r="E55" s="6" t="s">
        <v>42</v>
      </c>
      <c r="F55" s="6" t="s">
        <v>219</v>
      </c>
      <c r="G55" s="6" t="s">
        <v>134</v>
      </c>
      <c r="H55" s="6" t="s">
        <v>47</v>
      </c>
      <c r="I55" s="6" t="s">
        <v>220</v>
      </c>
      <c r="J55" s="6"/>
      <c r="K55" s="6"/>
      <c r="L55" s="6"/>
      <c r="M55" s="6"/>
      <c r="N55" s="6"/>
      <c r="O55" s="6"/>
      <c r="P55" s="6"/>
      <c r="Q55" s="6" t="s">
        <v>221</v>
      </c>
    </row>
    <row r="56" spans="1:17" ht="45.75" hidden="1">
      <c r="A56" s="6" t="str">
        <f>"FB-00" &amp; TEXT(ROW() - ROW(tblFeedback[[#Headers],[Feedback ID]]), "0;-0")</f>
        <v>FB-0052</v>
      </c>
      <c r="B56" s="7">
        <v>46265</v>
      </c>
      <c r="C56" s="6"/>
      <c r="D56" s="6" t="s">
        <v>174</v>
      </c>
      <c r="E56" s="6" t="s">
        <v>133</v>
      </c>
      <c r="F56" s="6" t="s">
        <v>222</v>
      </c>
      <c r="G56" s="6" t="s">
        <v>141</v>
      </c>
      <c r="H56" s="6" t="s">
        <v>41</v>
      </c>
      <c r="I56" s="6" t="s">
        <v>223</v>
      </c>
      <c r="J56" s="6"/>
      <c r="K56" s="6"/>
      <c r="L56" s="6"/>
      <c r="M56" s="6"/>
      <c r="N56" s="6"/>
      <c r="O56" s="6"/>
      <c r="P56" s="6"/>
      <c r="Q56" s="6"/>
    </row>
    <row r="57" spans="1:17" ht="30.75" hidden="1">
      <c r="A57" s="6" t="str">
        <f>"FB-00" &amp; TEXT(ROW() - ROW(tblFeedback[[#Headers],[Feedback ID]]), "0;-0")</f>
        <v>FB-0053</v>
      </c>
      <c r="B57" s="7">
        <v>46265</v>
      </c>
      <c r="C57" s="6"/>
      <c r="D57" s="6" t="s">
        <v>174</v>
      </c>
      <c r="E57" s="6" t="s">
        <v>133</v>
      </c>
      <c r="F57" s="6" t="s">
        <v>224</v>
      </c>
      <c r="G57" s="6" t="s">
        <v>141</v>
      </c>
      <c r="H57" s="6" t="s">
        <v>41</v>
      </c>
      <c r="I57" s="6" t="s">
        <v>225</v>
      </c>
      <c r="J57" s="6"/>
      <c r="K57" s="6"/>
      <c r="L57" s="6"/>
      <c r="M57" s="6"/>
      <c r="N57" s="6"/>
      <c r="O57" s="6"/>
      <c r="P57" s="6"/>
      <c r="Q57" s="6"/>
    </row>
    <row r="58" spans="1:17" ht="30.75" hidden="1">
      <c r="A58" s="6" t="str">
        <f>"FB-00" &amp; TEXT(ROW() - ROW(tblFeedback[[#Headers],[Feedback ID]]), "0;-0")</f>
        <v>FB-0054</v>
      </c>
      <c r="B58" s="7">
        <v>46265</v>
      </c>
      <c r="C58" s="6"/>
      <c r="D58" s="6" t="s">
        <v>174</v>
      </c>
      <c r="E58" s="6" t="s">
        <v>42</v>
      </c>
      <c r="F58" s="6" t="s">
        <v>226</v>
      </c>
      <c r="G58" s="6" t="s">
        <v>141</v>
      </c>
      <c r="H58" s="6" t="s">
        <v>44</v>
      </c>
      <c r="I58" s="6" t="s">
        <v>227</v>
      </c>
      <c r="J58" s="6"/>
      <c r="K58" s="6"/>
      <c r="L58" s="6"/>
      <c r="M58" s="6"/>
      <c r="N58" s="6"/>
      <c r="O58" s="6"/>
      <c r="P58" s="6"/>
      <c r="Q58" s="6"/>
    </row>
    <row r="59" spans="1:17" ht="30.75" hidden="1">
      <c r="A59" s="6" t="str">
        <f>"FB-00" &amp; TEXT(ROW() - ROW(tblFeedback[[#Headers],[Feedback ID]]), "0;-0")</f>
        <v>FB-0055</v>
      </c>
      <c r="B59" s="7">
        <v>46265</v>
      </c>
      <c r="C59" s="6"/>
      <c r="D59" s="6" t="s">
        <v>174</v>
      </c>
      <c r="E59" s="6" t="s">
        <v>228</v>
      </c>
      <c r="F59" s="6" t="s">
        <v>161</v>
      </c>
      <c r="G59" s="6" t="s">
        <v>137</v>
      </c>
      <c r="H59" s="6" t="s">
        <v>47</v>
      </c>
      <c r="I59" s="6" t="s">
        <v>229</v>
      </c>
      <c r="J59" s="6"/>
      <c r="K59" s="6"/>
      <c r="L59" s="6"/>
      <c r="M59" s="6"/>
      <c r="N59" s="6"/>
      <c r="O59" s="6"/>
      <c r="P59" s="6"/>
      <c r="Q59" s="6"/>
    </row>
    <row r="60" spans="1:17" ht="30.75" hidden="1">
      <c r="A60" s="6" t="str">
        <f>"FB-00" &amp; TEXT(ROW() - ROW(tblFeedback[[#Headers],[Feedback ID]]), "0;-0")</f>
        <v>FB-0056</v>
      </c>
      <c r="B60" s="7">
        <v>46265</v>
      </c>
      <c r="C60" s="6"/>
      <c r="D60" s="6" t="s">
        <v>174</v>
      </c>
      <c r="E60" s="6" t="s">
        <v>228</v>
      </c>
      <c r="F60" s="6" t="s">
        <v>230</v>
      </c>
      <c r="G60" s="6" t="s">
        <v>134</v>
      </c>
      <c r="H60" s="6" t="s">
        <v>47</v>
      </c>
      <c r="I60" s="6" t="s">
        <v>231</v>
      </c>
      <c r="J60" s="6"/>
      <c r="K60" s="6"/>
      <c r="L60" s="6"/>
      <c r="M60" s="6"/>
      <c r="N60" s="6"/>
      <c r="O60" s="6"/>
      <c r="P60" s="6"/>
      <c r="Q60" s="6"/>
    </row>
    <row r="61" spans="1:17" ht="45.75" hidden="1">
      <c r="A61" s="6" t="str">
        <f>"FB-00" &amp; TEXT(ROW() - ROW(tblFeedback[[#Headers],[Feedback ID]]), "0;-0")</f>
        <v>FB-0057</v>
      </c>
      <c r="B61" s="7">
        <v>46265</v>
      </c>
      <c r="C61" s="6"/>
      <c r="D61" s="6" t="s">
        <v>174</v>
      </c>
      <c r="E61" s="6" t="s">
        <v>228</v>
      </c>
      <c r="F61" s="6" t="s">
        <v>232</v>
      </c>
      <c r="G61" s="6" t="s">
        <v>193</v>
      </c>
      <c r="H61" s="6" t="s">
        <v>47</v>
      </c>
      <c r="I61" s="6" t="s">
        <v>233</v>
      </c>
      <c r="J61" s="6"/>
      <c r="K61" s="6"/>
      <c r="L61" s="6"/>
      <c r="M61" s="6"/>
      <c r="N61" s="6"/>
      <c r="O61" s="6"/>
      <c r="P61" s="6"/>
      <c r="Q61" s="6"/>
    </row>
    <row r="62" spans="1:17" hidden="1">
      <c r="A62" s="6" t="str">
        <f>"FB-00" &amp; TEXT(ROW() - ROW(tblFeedback[[#Headers],[Feedback ID]]), "0;-0")</f>
        <v>FB-0058</v>
      </c>
      <c r="B62" s="7">
        <v>46265</v>
      </c>
      <c r="C62" s="6"/>
      <c r="D62" s="6" t="s">
        <v>174</v>
      </c>
      <c r="E62" s="6" t="s">
        <v>42</v>
      </c>
      <c r="F62" s="6" t="s">
        <v>234</v>
      </c>
      <c r="G62" s="6" t="s">
        <v>141</v>
      </c>
      <c r="H62" s="6" t="s">
        <v>47</v>
      </c>
      <c r="I62" s="6" t="s">
        <v>235</v>
      </c>
      <c r="J62" s="6"/>
      <c r="K62" s="6"/>
      <c r="L62" s="6"/>
      <c r="M62" s="6"/>
      <c r="N62" s="6"/>
      <c r="O62" s="6"/>
      <c r="P62" s="6"/>
      <c r="Q62" s="6"/>
    </row>
    <row r="63" spans="1:17" ht="30.75">
      <c r="A63" s="6" t="str">
        <f>"FB-00" &amp; TEXT(ROW() - ROW(tblFeedback[[#Headers],[Feedback ID]]), "0;-0")</f>
        <v>FB-0059</v>
      </c>
      <c r="B63" s="7">
        <v>46265</v>
      </c>
      <c r="C63" s="6"/>
      <c r="D63" s="6" t="s">
        <v>86</v>
      </c>
      <c r="E63" s="6" t="s">
        <v>52</v>
      </c>
      <c r="F63" s="6" t="s">
        <v>236</v>
      </c>
      <c r="G63" s="6" t="s">
        <v>193</v>
      </c>
      <c r="H63" s="6" t="s">
        <v>47</v>
      </c>
      <c r="I63" s="6" t="s">
        <v>237</v>
      </c>
      <c r="J63" s="6"/>
      <c r="K63" s="6"/>
      <c r="L63" s="6"/>
      <c r="M63" s="6"/>
      <c r="N63" s="6"/>
      <c r="O63" s="6"/>
      <c r="P63" s="6"/>
      <c r="Q63" s="6" t="s">
        <v>238</v>
      </c>
    </row>
    <row r="64" spans="1:17" ht="30.75">
      <c r="A64" s="6" t="str">
        <f>"FB-00" &amp; TEXT(ROW() - ROW(tblFeedback[[#Headers],[Feedback ID]]), "0;-0")</f>
        <v>FB-0060</v>
      </c>
      <c r="B64" s="7">
        <v>46265</v>
      </c>
      <c r="C64" s="6"/>
      <c r="D64" s="6" t="s">
        <v>86</v>
      </c>
      <c r="E64" s="6" t="s">
        <v>52</v>
      </c>
      <c r="F64" s="6" t="s">
        <v>236</v>
      </c>
      <c r="G64" s="6" t="s">
        <v>193</v>
      </c>
      <c r="H64" s="6" t="s">
        <v>47</v>
      </c>
      <c r="I64" s="6" t="s">
        <v>239</v>
      </c>
      <c r="J64" s="6"/>
      <c r="K64" s="6"/>
      <c r="L64" s="6"/>
      <c r="M64" s="6"/>
      <c r="N64" s="6"/>
      <c r="O64" s="6"/>
      <c r="P64" s="6"/>
      <c r="Q64" s="6" t="s">
        <v>240</v>
      </c>
    </row>
    <row r="65" spans="1:17" ht="45.75">
      <c r="A65" s="6" t="str">
        <f>"FB-00" &amp; TEXT(ROW() - ROW(tblFeedback[[#Headers],[Feedback ID]]), "0;-0")</f>
        <v>FB-0061</v>
      </c>
      <c r="B65" s="7">
        <v>46265</v>
      </c>
      <c r="C65" s="6"/>
      <c r="D65" s="6" t="s">
        <v>86</v>
      </c>
      <c r="E65" s="6" t="s">
        <v>84</v>
      </c>
      <c r="F65" s="6" t="s">
        <v>241</v>
      </c>
      <c r="G65" s="6" t="s">
        <v>141</v>
      </c>
      <c r="H65" s="6" t="s">
        <v>47</v>
      </c>
      <c r="I65" s="6" t="s">
        <v>242</v>
      </c>
      <c r="J65" s="6"/>
      <c r="K65" s="6"/>
      <c r="L65" s="6"/>
      <c r="M65" s="6"/>
      <c r="N65" s="6"/>
      <c r="O65" s="6"/>
      <c r="P65" s="6"/>
      <c r="Q65" s="6" t="s">
        <v>243</v>
      </c>
    </row>
    <row r="66" spans="1:17" ht="45.75">
      <c r="A66" s="6" t="str">
        <f>"FB-00" &amp; TEXT(ROW() - ROW(tblFeedback[[#Headers],[Feedback ID]]), "0;-0")</f>
        <v>FB-0062</v>
      </c>
      <c r="B66" s="7">
        <v>46265</v>
      </c>
      <c r="C66" s="6"/>
      <c r="D66" s="6" t="s">
        <v>86</v>
      </c>
      <c r="E66" s="6" t="s">
        <v>84</v>
      </c>
      <c r="F66" s="6" t="s">
        <v>241</v>
      </c>
      <c r="G66" s="6" t="s">
        <v>141</v>
      </c>
      <c r="H66" s="6" t="s">
        <v>47</v>
      </c>
      <c r="I66" s="6" t="s">
        <v>244</v>
      </c>
      <c r="J66" s="6"/>
      <c r="K66" s="6"/>
      <c r="L66" s="6"/>
      <c r="M66" s="6"/>
      <c r="N66" s="6"/>
      <c r="O66" s="6"/>
      <c r="P66" s="6"/>
      <c r="Q66" s="6" t="s">
        <v>245</v>
      </c>
    </row>
    <row r="67" spans="1:17" ht="32.25">
      <c r="A67" s="6" t="str">
        <f>"FB-00" &amp; TEXT(ROW() - ROW(tblFeedback[[#Headers],[Feedback ID]]), "0;-0")</f>
        <v>FB-0063</v>
      </c>
      <c r="B67" s="7">
        <v>46265</v>
      </c>
      <c r="C67" s="6"/>
      <c r="D67" s="6" t="s">
        <v>86</v>
      </c>
      <c r="E67" s="6" t="s">
        <v>84</v>
      </c>
      <c r="F67" s="6" t="s">
        <v>241</v>
      </c>
      <c r="G67" s="6" t="s">
        <v>141</v>
      </c>
      <c r="H67" s="6" t="s">
        <v>47</v>
      </c>
      <c r="I67" s="6" t="s">
        <v>246</v>
      </c>
      <c r="J67" s="6"/>
      <c r="K67" s="6"/>
      <c r="L67" s="6"/>
      <c r="M67" s="6"/>
      <c r="N67" s="6"/>
      <c r="O67" s="6"/>
      <c r="P67" s="6"/>
      <c r="Q67" s="6" t="s">
        <v>240</v>
      </c>
    </row>
    <row r="68" spans="1:17" ht="62.25">
      <c r="A68" s="6" t="str">
        <f>"FB-00" &amp; TEXT(ROW() - ROW(tblFeedback[[#Headers],[Feedback ID]]), "0;-0")</f>
        <v>FB-0064</v>
      </c>
      <c r="B68" s="7">
        <v>46265</v>
      </c>
      <c r="C68" s="6"/>
      <c r="D68" s="6" t="s">
        <v>86</v>
      </c>
      <c r="E68" s="6" t="s">
        <v>84</v>
      </c>
      <c r="F68" s="6" t="s">
        <v>241</v>
      </c>
      <c r="G68" s="6" t="s">
        <v>141</v>
      </c>
      <c r="H68" s="6" t="s">
        <v>47</v>
      </c>
      <c r="I68" s="6" t="s">
        <v>247</v>
      </c>
      <c r="J68" s="6"/>
      <c r="K68" s="6"/>
      <c r="L68" s="6"/>
      <c r="M68" s="6"/>
      <c r="N68" s="6"/>
      <c r="O68" s="6"/>
      <c r="P68" s="6"/>
      <c r="Q68" s="6" t="s">
        <v>240</v>
      </c>
    </row>
    <row r="69" spans="1:17" ht="45.75">
      <c r="A69" s="6" t="str">
        <f>"FB-00" &amp; TEXT(ROW() - ROW(tblFeedback[[#Headers],[Feedback ID]]), "0;-0")</f>
        <v>FB-0065</v>
      </c>
      <c r="B69" s="7">
        <v>46265</v>
      </c>
      <c r="C69" s="6"/>
      <c r="D69" s="6" t="s">
        <v>86</v>
      </c>
      <c r="E69" s="6" t="s">
        <v>84</v>
      </c>
      <c r="F69" s="6" t="s">
        <v>241</v>
      </c>
      <c r="G69" s="6" t="s">
        <v>141</v>
      </c>
      <c r="H69" s="6" t="s">
        <v>47</v>
      </c>
      <c r="I69" s="6" t="s">
        <v>248</v>
      </c>
      <c r="J69" s="6"/>
      <c r="K69" s="6"/>
      <c r="L69" s="6"/>
      <c r="M69" s="6"/>
      <c r="N69" s="6"/>
      <c r="O69" s="6"/>
      <c r="P69" s="6"/>
      <c r="Q69" s="6" t="s">
        <v>240</v>
      </c>
    </row>
    <row r="70" spans="1:17" ht="30.75">
      <c r="A70" s="6" t="str">
        <f>"FB-00" &amp; TEXT(ROW() - ROW(tblFeedback[[#Headers],[Feedback ID]]), "0;-0")</f>
        <v>FB-0066</v>
      </c>
      <c r="B70" s="7">
        <v>46265</v>
      </c>
      <c r="C70" s="6"/>
      <c r="D70" s="6" t="s">
        <v>86</v>
      </c>
      <c r="E70" s="6" t="s">
        <v>84</v>
      </c>
      <c r="F70" s="6" t="s">
        <v>241</v>
      </c>
      <c r="G70" s="6" t="s">
        <v>141</v>
      </c>
      <c r="H70" s="6" t="s">
        <v>47</v>
      </c>
      <c r="I70" s="6" t="s">
        <v>249</v>
      </c>
      <c r="J70" s="6"/>
      <c r="K70" s="6"/>
      <c r="L70" s="6"/>
      <c r="M70" s="6"/>
      <c r="N70" s="6"/>
      <c r="O70" s="6"/>
      <c r="P70" s="6"/>
      <c r="Q70" s="6" t="s">
        <v>240</v>
      </c>
    </row>
    <row r="71" spans="1:17" ht="30.75">
      <c r="A71" s="6" t="str">
        <f>"FB-00" &amp; TEXT(ROW() - ROW(tblFeedback[[#Headers],[Feedback ID]]), "0;-0")</f>
        <v>FB-0067</v>
      </c>
      <c r="B71" s="7">
        <v>46265</v>
      </c>
      <c r="C71" s="6"/>
      <c r="D71" s="6" t="s">
        <v>86</v>
      </c>
      <c r="E71" s="6" t="s">
        <v>84</v>
      </c>
      <c r="F71" s="6" t="s">
        <v>241</v>
      </c>
      <c r="G71" s="6" t="s">
        <v>141</v>
      </c>
      <c r="H71" s="6" t="s">
        <v>47</v>
      </c>
      <c r="I71" s="6" t="s">
        <v>250</v>
      </c>
      <c r="J71" s="6"/>
      <c r="K71" s="6"/>
      <c r="L71" s="6"/>
      <c r="M71" s="6"/>
      <c r="N71" s="6"/>
      <c r="O71" s="6"/>
      <c r="P71" s="6"/>
      <c r="Q71" s="6" t="s">
        <v>240</v>
      </c>
    </row>
    <row r="72" spans="1:17" ht="30.75" hidden="1">
      <c r="A72" s="6" t="str">
        <f>"FB-00" &amp; TEXT(ROW() - ROW(tblFeedback[[#Headers],[Feedback ID]]), "0;-0")</f>
        <v>FB-0068</v>
      </c>
      <c r="B72" s="7">
        <v>46266</v>
      </c>
      <c r="C72" s="6"/>
      <c r="D72" s="6" t="s">
        <v>174</v>
      </c>
      <c r="E72" s="6" t="s">
        <v>251</v>
      </c>
      <c r="F72" s="6" t="s">
        <v>252</v>
      </c>
      <c r="G72" s="6" t="s">
        <v>141</v>
      </c>
      <c r="H72" s="6" t="s">
        <v>44</v>
      </c>
      <c r="I72" s="6" t="s">
        <v>253</v>
      </c>
      <c r="J72" s="6"/>
      <c r="K72" s="6"/>
      <c r="L72" s="6"/>
      <c r="M72" s="6"/>
      <c r="N72" s="6"/>
      <c r="O72" s="6"/>
      <c r="P72" s="6"/>
      <c r="Q72" s="6"/>
    </row>
    <row r="73" spans="1:17" ht="123" customHeight="1">
      <c r="A73" s="6" t="str">
        <f>"FB-00" &amp; TEXT(ROW() - ROW(tblFeedback[[#Headers],[Feedback ID]]), "0;-0")</f>
        <v>FB-0069</v>
      </c>
      <c r="B73" s="7">
        <v>46266</v>
      </c>
      <c r="C73" s="6"/>
      <c r="D73" s="6" t="s">
        <v>86</v>
      </c>
      <c r="E73" s="6" t="s">
        <v>45</v>
      </c>
      <c r="F73" s="6" t="s">
        <v>216</v>
      </c>
      <c r="G73" s="6" t="s">
        <v>141</v>
      </c>
      <c r="H73" s="6" t="s">
        <v>47</v>
      </c>
      <c r="I73" s="6" t="s">
        <v>254</v>
      </c>
      <c r="J73" s="6"/>
      <c r="K73" s="6"/>
      <c r="L73" s="6"/>
      <c r="M73" s="6"/>
      <c r="N73" s="6"/>
      <c r="O73" s="6"/>
      <c r="P73" s="6"/>
      <c r="Q73" s="6" t="s">
        <v>255</v>
      </c>
    </row>
    <row r="74" spans="1:17" ht="30.75" hidden="1">
      <c r="A74" s="6" t="str">
        <f>"FB-00" &amp; TEXT(ROW() - ROW(tblFeedback[[#Headers],[Feedback ID]]), "0;-0")</f>
        <v>FB-0070</v>
      </c>
      <c r="B74" s="7">
        <v>46266</v>
      </c>
      <c r="C74" s="6"/>
      <c r="D74" s="6" t="s">
        <v>83</v>
      </c>
      <c r="E74" s="6" t="s">
        <v>228</v>
      </c>
      <c r="F74" s="6" t="s">
        <v>256</v>
      </c>
      <c r="G74" s="6" t="s">
        <v>141</v>
      </c>
      <c r="H74" s="6" t="s">
        <v>47</v>
      </c>
      <c r="I74" s="6" t="s">
        <v>257</v>
      </c>
      <c r="J74" s="6"/>
      <c r="K74" s="6"/>
      <c r="L74" s="6"/>
      <c r="M74" s="6"/>
      <c r="N74" s="6"/>
      <c r="O74" s="6"/>
      <c r="P74" s="6"/>
      <c r="Q74" s="6"/>
    </row>
    <row r="75" spans="1:17" ht="60.75">
      <c r="A75" s="6" t="str">
        <f>"FB-00" &amp; TEXT(ROW() - ROW(tblFeedback[[#Headers],[Feedback ID]]), "0;-0")</f>
        <v>FB-0071</v>
      </c>
      <c r="B75" s="7">
        <v>46266</v>
      </c>
      <c r="C75" s="6"/>
      <c r="D75" s="6" t="s">
        <v>86</v>
      </c>
      <c r="E75" s="6" t="s">
        <v>48</v>
      </c>
      <c r="F75" s="6" t="s">
        <v>114</v>
      </c>
      <c r="G75" s="6" t="s">
        <v>141</v>
      </c>
      <c r="H75" s="6" t="s">
        <v>41</v>
      </c>
      <c r="I75" s="6" t="s">
        <v>258</v>
      </c>
      <c r="J75" s="6"/>
      <c r="K75" s="6"/>
      <c r="L75" s="6"/>
      <c r="M75" s="6"/>
      <c r="N75" s="6"/>
      <c r="O75" s="6"/>
      <c r="P75" s="6"/>
      <c r="Q75" s="6" t="s">
        <v>169</v>
      </c>
    </row>
    <row r="76" spans="1:17" ht="45.75">
      <c r="A76" s="6" t="str">
        <f>"FB-00" &amp; TEXT(ROW() - ROW(tblFeedback[[#Headers],[Feedback ID]]), "0;-0")</f>
        <v>FB-0072</v>
      </c>
      <c r="B76" s="7">
        <v>46266</v>
      </c>
      <c r="C76" s="6"/>
      <c r="D76" s="6" t="s">
        <v>86</v>
      </c>
      <c r="E76" s="6" t="s">
        <v>84</v>
      </c>
      <c r="F76" s="6" t="s">
        <v>259</v>
      </c>
      <c r="G76" s="6" t="s">
        <v>141</v>
      </c>
      <c r="H76" s="6" t="s">
        <v>41</v>
      </c>
      <c r="I76" s="6" t="s">
        <v>260</v>
      </c>
      <c r="J76" s="6"/>
      <c r="K76" s="6"/>
      <c r="L76" s="6"/>
      <c r="M76" s="6"/>
      <c r="N76" s="6"/>
      <c r="O76" s="6"/>
      <c r="P76" s="6"/>
      <c r="Q76" s="6" t="s">
        <v>261</v>
      </c>
    </row>
    <row r="77" spans="1:17" ht="30.75">
      <c r="A77" s="6" t="str">
        <f>"FB-00" &amp; TEXT(ROW() - ROW(tblFeedback[[#Headers],[Feedback ID]]), "0;-0")</f>
        <v>FB-0073</v>
      </c>
      <c r="B77" s="7">
        <v>46266</v>
      </c>
      <c r="C77" s="6"/>
      <c r="D77" s="6" t="s">
        <v>86</v>
      </c>
      <c r="E77" s="6" t="s">
        <v>84</v>
      </c>
      <c r="F77" s="6" t="s">
        <v>259</v>
      </c>
      <c r="G77" s="6" t="s">
        <v>141</v>
      </c>
      <c r="H77" s="6" t="s">
        <v>44</v>
      </c>
      <c r="I77" s="6" t="s">
        <v>262</v>
      </c>
      <c r="J77" s="6"/>
      <c r="K77" s="6"/>
      <c r="L77" s="6"/>
      <c r="M77" s="6"/>
      <c r="N77" s="6"/>
      <c r="O77" s="6"/>
      <c r="P77" s="6"/>
      <c r="Q77" s="6" t="s">
        <v>169</v>
      </c>
    </row>
    <row r="78" spans="1:17" ht="30.75">
      <c r="A78" s="6" t="str">
        <f>"FB-00" &amp; TEXT(ROW() - ROW(tblFeedback[[#Headers],[Feedback ID]]), "0;-0")</f>
        <v>FB-0074</v>
      </c>
      <c r="B78" s="7">
        <v>46266</v>
      </c>
      <c r="C78" s="6"/>
      <c r="D78" s="6" t="s">
        <v>86</v>
      </c>
      <c r="E78" s="6" t="s">
        <v>84</v>
      </c>
      <c r="F78" s="6" t="s">
        <v>259</v>
      </c>
      <c r="G78" s="6" t="s">
        <v>141</v>
      </c>
      <c r="H78" s="6" t="s">
        <v>44</v>
      </c>
      <c r="I78" s="6" t="s">
        <v>263</v>
      </c>
      <c r="J78" s="6"/>
      <c r="K78" s="6"/>
      <c r="L78" s="6"/>
      <c r="M78" s="6"/>
      <c r="N78" s="6"/>
      <c r="O78" s="6"/>
      <c r="P78" s="6"/>
      <c r="Q78" s="6" t="s">
        <v>264</v>
      </c>
    </row>
    <row r="79" spans="1:17" ht="60.75">
      <c r="A79" s="6" t="str">
        <f>"FB-00" &amp; TEXT(ROW() - ROW(tblFeedback[[#Headers],[Feedback ID]]), "0;-0")</f>
        <v>FB-0075</v>
      </c>
      <c r="B79" s="7">
        <v>46266</v>
      </c>
      <c r="C79" s="6"/>
      <c r="D79" s="6" t="s">
        <v>86</v>
      </c>
      <c r="E79" s="6" t="s">
        <v>84</v>
      </c>
      <c r="F79" s="6" t="s">
        <v>259</v>
      </c>
      <c r="G79" s="6" t="s">
        <v>141</v>
      </c>
      <c r="H79" s="6" t="s">
        <v>44</v>
      </c>
      <c r="I79" s="6" t="s">
        <v>265</v>
      </c>
      <c r="J79" s="6"/>
      <c r="K79" s="6"/>
      <c r="L79" s="6"/>
      <c r="M79" s="6"/>
      <c r="N79" s="6"/>
      <c r="O79" s="6"/>
      <c r="P79" s="6"/>
      <c r="Q79" s="6" t="s">
        <v>169</v>
      </c>
    </row>
    <row r="80" spans="1:17" ht="30.75">
      <c r="A80" s="6" t="str">
        <f>"FB-00" &amp; TEXT(ROW() - ROW(tblFeedback[[#Headers],[Feedback ID]]), "0;-0")</f>
        <v>FB-0076</v>
      </c>
      <c r="B80" s="7">
        <v>46266</v>
      </c>
      <c r="C80" s="6"/>
      <c r="D80" s="6" t="s">
        <v>86</v>
      </c>
      <c r="E80" s="6" t="s">
        <v>84</v>
      </c>
      <c r="F80" s="6" t="s">
        <v>259</v>
      </c>
      <c r="G80" s="6" t="s">
        <v>141</v>
      </c>
      <c r="H80" s="6" t="s">
        <v>44</v>
      </c>
      <c r="I80" s="6" t="s">
        <v>266</v>
      </c>
      <c r="J80" s="6"/>
      <c r="K80" s="6"/>
      <c r="L80" s="6"/>
      <c r="M80" s="6"/>
      <c r="N80" s="6"/>
      <c r="O80" s="6"/>
      <c r="P80" s="6"/>
      <c r="Q80" s="6" t="s">
        <v>169</v>
      </c>
    </row>
    <row r="81" spans="1:17" ht="30.75">
      <c r="A81" s="6" t="str">
        <f>"FB-00" &amp; TEXT(ROW() - ROW(tblFeedback[[#Headers],[Feedback ID]]), "0;-0")</f>
        <v>FB-0077</v>
      </c>
      <c r="B81" s="7">
        <v>46266</v>
      </c>
      <c r="C81" s="6"/>
      <c r="D81" s="6" t="s">
        <v>86</v>
      </c>
      <c r="E81" s="6" t="s">
        <v>45</v>
      </c>
      <c r="F81" s="6" t="s">
        <v>114</v>
      </c>
      <c r="G81" s="6" t="s">
        <v>141</v>
      </c>
      <c r="H81" s="6" t="s">
        <v>47</v>
      </c>
      <c r="I81" s="6" t="s">
        <v>267</v>
      </c>
      <c r="J81" s="6"/>
      <c r="K81" s="6"/>
      <c r="L81" s="6"/>
      <c r="M81" s="6"/>
      <c r="N81" s="6"/>
      <c r="O81" s="6"/>
      <c r="P81" s="6"/>
      <c r="Q81" s="6"/>
    </row>
    <row r="82" spans="1:17" ht="77.25">
      <c r="A82" s="6" t="str">
        <f>"FB-00" &amp; TEXT(ROW() - ROW(tblFeedback[[#Headers],[Feedback ID]]), "0;-0")</f>
        <v>FB-0078</v>
      </c>
      <c r="B82" s="7">
        <v>46266</v>
      </c>
      <c r="C82" s="6"/>
      <c r="D82" s="6" t="s">
        <v>86</v>
      </c>
      <c r="E82" s="6" t="s">
        <v>45</v>
      </c>
      <c r="F82" s="6" t="s">
        <v>259</v>
      </c>
      <c r="G82" s="6" t="s">
        <v>141</v>
      </c>
      <c r="H82" s="6" t="s">
        <v>47</v>
      </c>
      <c r="I82" s="6" t="s">
        <v>268</v>
      </c>
      <c r="J82" s="6"/>
      <c r="K82" s="6"/>
      <c r="L82" s="6"/>
      <c r="M82" s="6"/>
      <c r="N82" s="6"/>
      <c r="O82" s="6"/>
      <c r="P82" s="6"/>
      <c r="Q82" s="6" t="s">
        <v>269</v>
      </c>
    </row>
    <row r="83" spans="1:17" ht="45.75">
      <c r="A83" s="6" t="str">
        <f>"FB-00" &amp; TEXT(ROW() - ROW(tblFeedback[[#Headers],[Feedback ID]]), "0;-0")</f>
        <v>FB-0079</v>
      </c>
      <c r="B83" s="7">
        <v>46266</v>
      </c>
      <c r="C83" s="6"/>
      <c r="D83" s="6" t="s">
        <v>86</v>
      </c>
      <c r="E83" s="6" t="s">
        <v>45</v>
      </c>
      <c r="F83" s="6" t="s">
        <v>259</v>
      </c>
      <c r="G83" s="6" t="s">
        <v>141</v>
      </c>
      <c r="H83" s="6" t="s">
        <v>47</v>
      </c>
      <c r="I83" s="6" t="s">
        <v>270</v>
      </c>
      <c r="J83" s="6"/>
      <c r="K83" s="6"/>
      <c r="L83" s="6"/>
      <c r="M83" s="6"/>
      <c r="N83" s="6"/>
      <c r="O83" s="6"/>
      <c r="P83" s="6"/>
      <c r="Q83" s="6" t="s">
        <v>271</v>
      </c>
    </row>
    <row r="84" spans="1:17" ht="60.75">
      <c r="A84" s="6" t="str">
        <f>"FB-00" &amp; TEXT(ROW() - ROW(tblFeedback[[#Headers],[Feedback ID]]), "0;-0")</f>
        <v>FB-0080</v>
      </c>
      <c r="B84" s="7">
        <v>46266</v>
      </c>
      <c r="C84" s="6"/>
      <c r="D84" s="6" t="s">
        <v>86</v>
      </c>
      <c r="E84" s="6" t="s">
        <v>45</v>
      </c>
      <c r="F84" s="6" t="s">
        <v>259</v>
      </c>
      <c r="G84" s="6" t="s">
        <v>141</v>
      </c>
      <c r="H84" s="6" t="s">
        <v>47</v>
      </c>
      <c r="I84" s="6" t="s">
        <v>272</v>
      </c>
      <c r="J84" s="6"/>
      <c r="K84" s="6"/>
      <c r="L84" s="6"/>
      <c r="M84" s="6"/>
      <c r="N84" s="6"/>
      <c r="O84" s="6"/>
      <c r="P84" s="6"/>
      <c r="Q84" s="6" t="s">
        <v>273</v>
      </c>
    </row>
    <row r="85" spans="1:17" ht="30.75">
      <c r="A85" s="6" t="str">
        <f>"FB-00" &amp; TEXT(ROW() - ROW(tblFeedback[[#Headers],[Feedback ID]]), "0;-0")</f>
        <v>FB-0081</v>
      </c>
      <c r="B85" s="7">
        <v>46266</v>
      </c>
      <c r="C85" s="6"/>
      <c r="D85" s="6" t="s">
        <v>86</v>
      </c>
      <c r="E85" s="6" t="s">
        <v>45</v>
      </c>
      <c r="F85" s="6" t="s">
        <v>259</v>
      </c>
      <c r="G85" s="6" t="s">
        <v>134</v>
      </c>
      <c r="H85" s="6" t="s">
        <v>47</v>
      </c>
      <c r="I85" s="6" t="s">
        <v>274</v>
      </c>
      <c r="J85" s="6"/>
      <c r="K85" s="6"/>
      <c r="L85" s="6"/>
      <c r="M85" s="6"/>
      <c r="N85" s="6"/>
      <c r="O85" s="6"/>
      <c r="P85" s="6"/>
      <c r="Q85" s="6" t="s">
        <v>169</v>
      </c>
    </row>
    <row r="86" spans="1:17" ht="30.75">
      <c r="A86" s="6" t="str">
        <f>"FB-00" &amp; TEXT(ROW() - ROW(tblFeedback[[#Headers],[Feedback ID]]), "0;-0")</f>
        <v>FB-0082</v>
      </c>
      <c r="B86" s="7">
        <v>46266</v>
      </c>
      <c r="C86" s="6"/>
      <c r="D86" s="6" t="s">
        <v>86</v>
      </c>
      <c r="E86" s="6" t="s">
        <v>45</v>
      </c>
      <c r="F86" s="6" t="s">
        <v>259</v>
      </c>
      <c r="G86" s="6" t="s">
        <v>134</v>
      </c>
      <c r="H86" s="6" t="s">
        <v>47</v>
      </c>
      <c r="I86" s="6" t="s">
        <v>275</v>
      </c>
      <c r="J86" s="6"/>
      <c r="K86" s="6"/>
      <c r="L86" s="6"/>
      <c r="M86" s="6"/>
      <c r="N86" s="6"/>
      <c r="O86" s="6"/>
      <c r="P86" s="6"/>
      <c r="Q86" s="6" t="s">
        <v>276</v>
      </c>
    </row>
    <row r="87" spans="1:17" ht="30.75">
      <c r="A87" s="6" t="str">
        <f>"FB-00" &amp; TEXT(ROW() - ROW(tblFeedback[[#Headers],[Feedback ID]]), "0;-0")</f>
        <v>FB-0083</v>
      </c>
      <c r="B87" s="7">
        <v>46266</v>
      </c>
      <c r="C87" s="6"/>
      <c r="D87" s="6" t="s">
        <v>86</v>
      </c>
      <c r="E87" s="6" t="s">
        <v>45</v>
      </c>
      <c r="F87" s="6" t="s">
        <v>259</v>
      </c>
      <c r="G87" s="6" t="s">
        <v>134</v>
      </c>
      <c r="H87" s="6" t="s">
        <v>47</v>
      </c>
      <c r="I87" s="6" t="s">
        <v>277</v>
      </c>
      <c r="J87" s="6"/>
      <c r="K87" s="6"/>
      <c r="L87" s="6"/>
      <c r="M87" s="6"/>
      <c r="N87" s="6"/>
      <c r="O87" s="6"/>
      <c r="P87" s="6"/>
      <c r="Q87" s="6" t="s">
        <v>278</v>
      </c>
    </row>
    <row r="88" spans="1:17" ht="30.75">
      <c r="A88" s="6" t="str">
        <f>"FB-00" &amp; TEXT(ROW() - ROW(tblFeedback[[#Headers],[Feedback ID]]), "0;-0")</f>
        <v>FB-0084</v>
      </c>
      <c r="B88" s="7">
        <v>46266</v>
      </c>
      <c r="C88" s="6"/>
      <c r="D88" s="6" t="s">
        <v>86</v>
      </c>
      <c r="E88" s="6" t="s">
        <v>45</v>
      </c>
      <c r="F88" s="6" t="s">
        <v>259</v>
      </c>
      <c r="G88" s="6" t="s">
        <v>141</v>
      </c>
      <c r="H88" s="6" t="s">
        <v>47</v>
      </c>
      <c r="I88" s="6" t="s">
        <v>279</v>
      </c>
      <c r="J88" s="6"/>
      <c r="K88" s="6"/>
      <c r="L88" s="6"/>
      <c r="M88" s="6"/>
      <c r="N88" s="6"/>
      <c r="O88" s="6"/>
      <c r="P88" s="6"/>
      <c r="Q88" s="6" t="s">
        <v>280</v>
      </c>
    </row>
    <row r="89" spans="1:17" ht="30.75">
      <c r="A89" s="6" t="str">
        <f>"FB-00" &amp; TEXT(ROW() - ROW(tblFeedback[[#Headers],[Feedback ID]]), "0;-0")</f>
        <v>FB-0085</v>
      </c>
      <c r="B89" s="7">
        <v>46266</v>
      </c>
      <c r="C89" s="6"/>
      <c r="D89" s="6" t="s">
        <v>86</v>
      </c>
      <c r="E89" s="6" t="s">
        <v>45</v>
      </c>
      <c r="F89" s="6" t="s">
        <v>259</v>
      </c>
      <c r="G89" s="6" t="s">
        <v>134</v>
      </c>
      <c r="H89" s="6" t="s">
        <v>44</v>
      </c>
      <c r="I89" s="6" t="s">
        <v>281</v>
      </c>
      <c r="J89" s="6"/>
      <c r="K89" s="6"/>
      <c r="L89" s="6"/>
      <c r="M89" s="6"/>
      <c r="N89" s="6"/>
      <c r="O89" s="6"/>
      <c r="P89" s="6"/>
      <c r="Q89" s="6" t="s">
        <v>282</v>
      </c>
    </row>
    <row r="90" spans="1:17">
      <c r="A90" s="6" t="str">
        <f>"FB-00" &amp; TEXT(ROW() - ROW(tblFeedback[[#Headers],[Feedback ID]]), "0;-0")</f>
        <v>FB-0086</v>
      </c>
      <c r="B90" s="7">
        <v>46266</v>
      </c>
      <c r="C90" s="6"/>
      <c r="D90" s="6" t="s">
        <v>86</v>
      </c>
      <c r="E90" s="6" t="s">
        <v>45</v>
      </c>
      <c r="F90" s="6" t="s">
        <v>283</v>
      </c>
      <c r="G90" s="6" t="s">
        <v>141</v>
      </c>
      <c r="H90" s="6" t="s">
        <v>47</v>
      </c>
      <c r="I90" s="6" t="s">
        <v>284</v>
      </c>
      <c r="J90" s="6"/>
      <c r="K90" s="6"/>
      <c r="L90" s="6"/>
      <c r="M90" s="6"/>
      <c r="N90" s="6"/>
      <c r="O90" s="6"/>
      <c r="P90" s="6"/>
      <c r="Q90" s="6" t="s">
        <v>221</v>
      </c>
    </row>
    <row r="91" spans="1:17">
      <c r="A91" s="6" t="str">
        <f>"FB-00" &amp; TEXT(ROW() - ROW(tblFeedback[[#Headers],[Feedback ID]]), "0;-0")</f>
        <v>FB-0087</v>
      </c>
      <c r="B91" s="7">
        <v>46266</v>
      </c>
      <c r="C91" s="6"/>
      <c r="D91" s="6" t="s">
        <v>86</v>
      </c>
      <c r="E91" s="6" t="s">
        <v>45</v>
      </c>
      <c r="F91" s="6" t="s">
        <v>285</v>
      </c>
      <c r="G91" s="6" t="s">
        <v>141</v>
      </c>
      <c r="H91" s="6" t="s">
        <v>47</v>
      </c>
      <c r="I91" s="6" t="s">
        <v>286</v>
      </c>
      <c r="J91" s="6"/>
      <c r="K91" s="6"/>
      <c r="L91" s="6"/>
      <c r="M91" s="6"/>
      <c r="N91" s="6"/>
      <c r="O91" s="6"/>
      <c r="P91" s="6"/>
      <c r="Q91" s="6" t="s">
        <v>287</v>
      </c>
    </row>
    <row r="92" spans="1:17" ht="30.75">
      <c r="A92" s="6" t="str">
        <f>"FB-00" &amp; TEXT(ROW() - ROW(tblFeedback[[#Headers],[Feedback ID]]), "0;-0")</f>
        <v>FB-0088</v>
      </c>
      <c r="B92" s="7">
        <v>46266</v>
      </c>
      <c r="C92" s="6"/>
      <c r="D92" s="6" t="s">
        <v>86</v>
      </c>
      <c r="E92" s="6" t="s">
        <v>45</v>
      </c>
      <c r="F92" s="6" t="s">
        <v>259</v>
      </c>
      <c r="G92" s="6" t="s">
        <v>141</v>
      </c>
      <c r="H92" s="6" t="s">
        <v>47</v>
      </c>
      <c r="I92" s="6" t="s">
        <v>288</v>
      </c>
      <c r="J92" s="6"/>
      <c r="K92" s="6"/>
      <c r="L92" s="6"/>
      <c r="M92" s="6"/>
      <c r="N92" s="6"/>
      <c r="O92" s="6"/>
      <c r="P92" s="6"/>
      <c r="Q92" s="6" t="s">
        <v>289</v>
      </c>
    </row>
    <row r="93" spans="1:17" ht="30.75">
      <c r="A93" s="6" t="str">
        <f>"FB-00" &amp; TEXT(ROW() - ROW(tblFeedback[[#Headers],[Feedback ID]]), "0;-0")</f>
        <v>FB-0089</v>
      </c>
      <c r="B93" s="7">
        <v>46266</v>
      </c>
      <c r="C93" s="6"/>
      <c r="D93" s="6" t="s">
        <v>86</v>
      </c>
      <c r="E93" s="6" t="s">
        <v>84</v>
      </c>
      <c r="F93" s="6" t="s">
        <v>290</v>
      </c>
      <c r="G93" s="6" t="s">
        <v>141</v>
      </c>
      <c r="H93" s="6" t="s">
        <v>47</v>
      </c>
      <c r="I93" s="6" t="s">
        <v>291</v>
      </c>
      <c r="J93" s="6"/>
      <c r="K93" s="6"/>
      <c r="L93" s="6"/>
      <c r="M93" s="6"/>
      <c r="N93" s="6"/>
      <c r="O93" s="6"/>
      <c r="P93" s="6"/>
      <c r="Q93" s="6"/>
    </row>
    <row r="94" spans="1:17">
      <c r="A94" s="6" t="str">
        <f>"FB-00" &amp; TEXT(ROW() - ROW(tblFeedback[[#Headers],[Feedback ID]]), "0;-0")</f>
        <v>FB-0090</v>
      </c>
      <c r="B94" s="7">
        <v>46266</v>
      </c>
      <c r="C94" s="6"/>
      <c r="D94" s="6" t="s">
        <v>86</v>
      </c>
      <c r="E94" s="6" t="s">
        <v>52</v>
      </c>
      <c r="F94" s="6" t="s">
        <v>236</v>
      </c>
      <c r="G94" s="6" t="s">
        <v>134</v>
      </c>
      <c r="H94" s="6" t="s">
        <v>47</v>
      </c>
      <c r="I94" s="6" t="s">
        <v>292</v>
      </c>
      <c r="J94" s="6"/>
      <c r="K94" s="6"/>
      <c r="L94" s="6"/>
      <c r="M94" s="6"/>
      <c r="N94" s="6"/>
      <c r="O94" s="6"/>
      <c r="P94" s="6"/>
      <c r="Q94" s="6"/>
    </row>
    <row r="95" spans="1:17" ht="30.75">
      <c r="A95" s="6" t="str">
        <f>"FB-00" &amp; TEXT(ROW() - ROW(tblFeedback[[#Headers],[Feedback ID]]), "0;-0")</f>
        <v>FB-0091</v>
      </c>
      <c r="B95" s="7">
        <v>46266</v>
      </c>
      <c r="C95" s="6"/>
      <c r="D95" s="6" t="s">
        <v>86</v>
      </c>
      <c r="E95" s="6" t="s">
        <v>52</v>
      </c>
      <c r="F95" s="6" t="s">
        <v>236</v>
      </c>
      <c r="G95" s="6" t="s">
        <v>134</v>
      </c>
      <c r="H95" s="6" t="s">
        <v>47</v>
      </c>
      <c r="I95" s="6" t="s">
        <v>293</v>
      </c>
      <c r="J95" s="6"/>
      <c r="K95" s="6"/>
      <c r="L95" s="6"/>
      <c r="M95" s="6"/>
      <c r="N95" s="6"/>
      <c r="O95" s="6"/>
      <c r="P95" s="6"/>
      <c r="Q95" s="6"/>
    </row>
    <row r="96" spans="1:17" ht="45.75">
      <c r="A96" s="6" t="str">
        <f>"FB-00" &amp; TEXT(ROW() - ROW(tblFeedback[[#Headers],[Feedback ID]]), "0;-0")</f>
        <v>FB-0092</v>
      </c>
      <c r="B96" s="7">
        <v>46267</v>
      </c>
      <c r="C96" s="6"/>
      <c r="D96" s="6" t="s">
        <v>86</v>
      </c>
      <c r="E96" s="6" t="s">
        <v>48</v>
      </c>
      <c r="F96" s="6" t="s">
        <v>294</v>
      </c>
      <c r="G96" s="6" t="s">
        <v>134</v>
      </c>
      <c r="H96" s="6" t="s">
        <v>47</v>
      </c>
      <c r="I96" s="6" t="s">
        <v>295</v>
      </c>
      <c r="J96" s="6"/>
      <c r="K96" s="6"/>
      <c r="L96" s="6"/>
      <c r="M96" s="6"/>
      <c r="N96" s="6"/>
      <c r="O96" s="6"/>
      <c r="P96" s="6"/>
      <c r="Q96" s="6" t="s">
        <v>296</v>
      </c>
    </row>
    <row r="97" spans="1:17" hidden="1">
      <c r="A97" s="6" t="str">
        <f>"FB-00" &amp; TEXT(ROW() - ROW(tblFeedback[[#Headers],[Feedback ID]]), "0;-0")</f>
        <v>FB-0093</v>
      </c>
      <c r="B97" s="7"/>
      <c r="C97" s="6"/>
      <c r="D97" s="6"/>
      <c r="E97" s="6"/>
      <c r="F97" s="6"/>
      <c r="G97" s="6"/>
      <c r="H97" s="6"/>
      <c r="I97" s="6"/>
      <c r="J97" s="6"/>
      <c r="K97" s="6"/>
      <c r="L97" s="6"/>
      <c r="M97" s="6"/>
      <c r="N97" s="6"/>
      <c r="O97" s="6"/>
      <c r="P97" s="6"/>
      <c r="Q97" s="6"/>
    </row>
    <row r="98" spans="1:17" hidden="1">
      <c r="A98" s="6" t="str">
        <f>"FB-00" &amp; TEXT(ROW() - ROW(tblFeedback[[#Headers],[Feedback ID]]), "0;-0")</f>
        <v>FB-0094</v>
      </c>
      <c r="B98" s="7"/>
      <c r="C98" s="6"/>
      <c r="D98" s="6"/>
      <c r="E98" s="6"/>
      <c r="F98" s="6"/>
      <c r="G98" s="6"/>
      <c r="H98" s="6"/>
      <c r="I98" s="6"/>
      <c r="J98" s="6"/>
      <c r="K98" s="6"/>
      <c r="L98" s="6"/>
      <c r="M98" s="6"/>
      <c r="N98" s="6"/>
      <c r="O98" s="6"/>
      <c r="P98" s="6"/>
      <c r="Q98" s="6"/>
    </row>
    <row r="99" spans="1:17" hidden="1">
      <c r="A99" s="6" t="str">
        <f>"FB-00" &amp; TEXT(ROW() - ROW(tblFeedback[[#Headers],[Feedback ID]]), "0;-0")</f>
        <v>FB-0095</v>
      </c>
      <c r="B99" s="7"/>
      <c r="C99" s="6"/>
      <c r="D99" s="6"/>
      <c r="E99" s="6"/>
      <c r="F99" s="6"/>
      <c r="G99" s="6"/>
      <c r="H99" s="6"/>
      <c r="I99" s="6"/>
      <c r="J99" s="6"/>
      <c r="K99" s="6"/>
      <c r="L99" s="6"/>
      <c r="M99" s="6"/>
      <c r="N99" s="6"/>
      <c r="O99" s="6"/>
      <c r="P99" s="6"/>
      <c r="Q99" s="6"/>
    </row>
    <row r="100" spans="1:17" hidden="1">
      <c r="A100" s="6" t="str">
        <f>"FB-00" &amp; TEXT(ROW() - ROW(tblFeedback[[#Headers],[Feedback ID]]), "0;-0")</f>
        <v>FB-0096</v>
      </c>
      <c r="B100" s="7"/>
      <c r="C100" s="6"/>
      <c r="D100" s="6"/>
      <c r="E100" s="6"/>
      <c r="F100" s="6"/>
      <c r="G100" s="6"/>
      <c r="H100" s="6"/>
      <c r="I100" s="6"/>
      <c r="J100" s="6"/>
      <c r="K100" s="6"/>
      <c r="L100" s="6"/>
      <c r="M100" s="6"/>
      <c r="N100" s="6"/>
      <c r="O100" s="6"/>
      <c r="P100" s="6"/>
      <c r="Q100" s="6"/>
    </row>
    <row r="101" spans="1:17" hidden="1">
      <c r="A101" s="6" t="str">
        <f>"FB-00" &amp; TEXT(ROW() - ROW(tblFeedback[[#Headers],[Feedback ID]]), "0;-0")</f>
        <v>FB-0097</v>
      </c>
      <c r="B101" s="7"/>
      <c r="C101" s="6"/>
      <c r="D101" s="6"/>
      <c r="E101" s="6"/>
      <c r="F101" s="6"/>
      <c r="G101" s="6"/>
      <c r="H101" s="6"/>
      <c r="I101" s="6"/>
      <c r="J101" s="6"/>
      <c r="K101" s="6"/>
      <c r="L101" s="6"/>
      <c r="M101" s="6"/>
      <c r="N101" s="6"/>
      <c r="O101" s="6"/>
      <c r="P101" s="6"/>
      <c r="Q101" s="6"/>
    </row>
    <row r="102" spans="1:17" hidden="1">
      <c r="A102" s="6" t="str">
        <f>"FB-00" &amp; TEXT(ROW() - ROW(tblFeedback[[#Headers],[Feedback ID]]), "0;-0")</f>
        <v>FB-0098</v>
      </c>
      <c r="B102" s="7"/>
      <c r="C102" s="6"/>
      <c r="D102" s="6"/>
      <c r="E102" s="6"/>
      <c r="F102" s="6"/>
      <c r="G102" s="6"/>
      <c r="H102" s="6"/>
      <c r="I102" s="6"/>
      <c r="J102" s="6"/>
      <c r="K102" s="6"/>
      <c r="L102" s="6"/>
      <c r="M102" s="6"/>
      <c r="N102" s="6"/>
      <c r="O102" s="6"/>
      <c r="P102" s="6"/>
      <c r="Q102" s="6"/>
    </row>
    <row r="103" spans="1:17" hidden="1">
      <c r="A103" s="6" t="str">
        <f>"FB-00" &amp; TEXT(ROW() - ROW(tblFeedback[[#Headers],[Feedback ID]]), "0;-0")</f>
        <v>FB-0099</v>
      </c>
      <c r="B103" s="7"/>
      <c r="C103" s="6"/>
      <c r="D103" s="6"/>
      <c r="E103" s="6"/>
      <c r="F103" s="6"/>
      <c r="G103" s="6"/>
      <c r="H103" s="6"/>
      <c r="I103" s="6"/>
      <c r="J103" s="6"/>
      <c r="K103" s="6"/>
      <c r="L103" s="6"/>
      <c r="M103" s="6"/>
      <c r="N103" s="6"/>
      <c r="O103" s="6"/>
      <c r="P103" s="6"/>
      <c r="Q103" s="6"/>
    </row>
    <row r="104" spans="1:17" hidden="1">
      <c r="A104" s="6" t="str">
        <f>"FB-00" &amp; TEXT(ROW() - ROW(tblFeedback[[#Headers],[Feedback ID]]), "0;-0")</f>
        <v>FB-00100</v>
      </c>
      <c r="B104" s="7"/>
      <c r="C104" s="6"/>
      <c r="D104" s="6"/>
      <c r="E104" s="6"/>
      <c r="F104" s="6"/>
      <c r="G104" s="6"/>
      <c r="H104" s="6"/>
      <c r="I104" s="6"/>
      <c r="J104" s="6"/>
      <c r="K104" s="6"/>
      <c r="L104" s="6"/>
      <c r="M104" s="6"/>
      <c r="N104" s="6"/>
      <c r="O104" s="6"/>
      <c r="P104" s="6"/>
      <c r="Q104" s="6"/>
    </row>
    <row r="105" spans="1:17" hidden="1">
      <c r="A105" s="6" t="str">
        <f>"FB-00" &amp; TEXT(ROW() - ROW(tblFeedback[[#Headers],[Feedback ID]]), "0;-0")</f>
        <v>FB-00101</v>
      </c>
      <c r="B105" s="7"/>
      <c r="C105" s="6"/>
      <c r="D105" s="6"/>
      <c r="E105" s="6"/>
      <c r="F105" s="6"/>
      <c r="G105" s="6"/>
      <c r="H105" s="6"/>
      <c r="I105" s="6"/>
      <c r="J105" s="6"/>
      <c r="K105" s="6"/>
      <c r="L105" s="6"/>
      <c r="M105" s="6"/>
      <c r="N105" s="6"/>
      <c r="O105" s="6"/>
      <c r="P105" s="6"/>
      <c r="Q105" s="6"/>
    </row>
    <row r="106" spans="1:17" hidden="1">
      <c r="A106" s="6" t="str">
        <f>"FB-00" &amp; TEXT(ROW() - ROW(tblFeedback[[#Headers],[Feedback ID]]), "0;-0")</f>
        <v>FB-00102</v>
      </c>
      <c r="B106" s="7"/>
      <c r="C106" s="6"/>
      <c r="D106" s="6"/>
      <c r="E106" s="6"/>
      <c r="F106" s="6"/>
      <c r="G106" s="6"/>
      <c r="H106" s="6"/>
      <c r="I106" s="6"/>
      <c r="J106" s="6"/>
      <c r="K106" s="6"/>
      <c r="L106" s="6"/>
      <c r="M106" s="6"/>
      <c r="N106" s="6"/>
      <c r="O106" s="6"/>
      <c r="P106" s="6"/>
      <c r="Q106" s="6"/>
    </row>
    <row r="107" spans="1:17" hidden="1">
      <c r="A107" s="6" t="str">
        <f>"FB-00" &amp; TEXT(ROW() - ROW(tblFeedback[[#Headers],[Feedback ID]]), "0;-0")</f>
        <v>FB-00103</v>
      </c>
      <c r="B107" s="7"/>
      <c r="C107" s="6"/>
      <c r="D107" s="6"/>
      <c r="E107" s="6"/>
      <c r="F107" s="6"/>
      <c r="G107" s="6"/>
      <c r="H107" s="6"/>
      <c r="I107" s="6"/>
      <c r="J107" s="6"/>
      <c r="K107" s="6"/>
      <c r="L107" s="6"/>
      <c r="M107" s="6"/>
      <c r="N107" s="6"/>
      <c r="O107" s="6"/>
      <c r="P107" s="6"/>
      <c r="Q107" s="6"/>
    </row>
    <row r="108" spans="1:17" hidden="1">
      <c r="A108" s="6" t="str">
        <f>"FB-00" &amp; TEXT(ROW() - ROW(tblFeedback[[#Headers],[Feedback ID]]), "0;-0")</f>
        <v>FB-00104</v>
      </c>
      <c r="B108" s="7"/>
      <c r="C108" s="6"/>
      <c r="D108" s="6"/>
      <c r="E108" s="6"/>
      <c r="F108" s="6"/>
      <c r="G108" s="6"/>
      <c r="H108" s="6"/>
      <c r="I108" s="6"/>
      <c r="J108" s="6"/>
      <c r="K108" s="6"/>
      <c r="L108" s="6"/>
      <c r="M108" s="6"/>
      <c r="N108" s="6"/>
      <c r="O108" s="6"/>
      <c r="P108" s="6"/>
      <c r="Q108" s="6"/>
    </row>
    <row r="109" spans="1:17" hidden="1">
      <c r="A109" s="6" t="str">
        <f>"FB-00" &amp; TEXT(ROW() - ROW(tblFeedback[[#Headers],[Feedback ID]]), "0;-0")</f>
        <v>FB-00105</v>
      </c>
      <c r="B109" s="7"/>
      <c r="C109" s="6"/>
      <c r="D109" s="6"/>
      <c r="E109" s="6"/>
      <c r="F109" s="6"/>
      <c r="G109" s="6"/>
      <c r="H109" s="6"/>
      <c r="I109" s="6"/>
      <c r="J109" s="6"/>
      <c r="K109" s="6"/>
      <c r="L109" s="6"/>
      <c r="M109" s="6"/>
      <c r="N109" s="6"/>
      <c r="O109" s="6"/>
      <c r="P109" s="6"/>
      <c r="Q109" s="6"/>
    </row>
    <row r="110" spans="1:17" hidden="1">
      <c r="A110" s="6" t="str">
        <f>"FB-00" &amp; TEXT(ROW() - ROW(tblFeedback[[#Headers],[Feedback ID]]), "0;-0")</f>
        <v>FB-00106</v>
      </c>
      <c r="B110" s="7"/>
      <c r="C110" s="6"/>
      <c r="D110" s="6"/>
      <c r="E110" s="6"/>
      <c r="F110" s="6"/>
      <c r="G110" s="6"/>
      <c r="H110" s="6"/>
      <c r="I110" s="6"/>
      <c r="J110" s="6"/>
      <c r="K110" s="6"/>
      <c r="L110" s="6"/>
      <c r="M110" s="6"/>
      <c r="N110" s="6"/>
      <c r="O110" s="6"/>
      <c r="P110" s="6"/>
      <c r="Q110" s="6"/>
    </row>
    <row r="111" spans="1:17" hidden="1">
      <c r="A111" s="6" t="str">
        <f>"FB-00" &amp; TEXT(ROW() - ROW(tblFeedback[[#Headers],[Feedback ID]]), "0;-0")</f>
        <v>FB-00107</v>
      </c>
      <c r="B111" s="7"/>
      <c r="C111" s="6"/>
      <c r="D111" s="6"/>
      <c r="E111" s="6"/>
      <c r="F111" s="6"/>
      <c r="G111" s="6"/>
      <c r="H111" s="6"/>
      <c r="I111" s="6"/>
      <c r="J111" s="6"/>
      <c r="K111" s="6"/>
      <c r="L111" s="6"/>
      <c r="M111" s="6"/>
      <c r="N111" s="6"/>
      <c r="O111" s="6"/>
      <c r="P111" s="6"/>
      <c r="Q111" s="6"/>
    </row>
    <row r="112" spans="1:17" hidden="1">
      <c r="A112" s="6" t="str">
        <f>"FB-00" &amp; TEXT(ROW() - ROW(tblFeedback[[#Headers],[Feedback ID]]), "0;-0")</f>
        <v>FB-00108</v>
      </c>
      <c r="B112" s="7"/>
      <c r="C112" s="6"/>
      <c r="D112" s="6"/>
      <c r="E112" s="6"/>
      <c r="F112" s="6"/>
      <c r="G112" s="6"/>
      <c r="H112" s="6"/>
      <c r="I112" s="6"/>
      <c r="J112" s="6"/>
      <c r="K112" s="6"/>
      <c r="L112" s="6"/>
      <c r="M112" s="6"/>
      <c r="N112" s="6"/>
      <c r="O112" s="6"/>
      <c r="P112" s="6"/>
      <c r="Q112" s="6"/>
    </row>
    <row r="113" spans="1:17" hidden="1">
      <c r="A113" s="6" t="str">
        <f>"FB-00" &amp; TEXT(ROW() - ROW(tblFeedback[[#Headers],[Feedback ID]]), "0;-0")</f>
        <v>FB-00109</v>
      </c>
      <c r="B113" s="7"/>
      <c r="C113" s="6"/>
      <c r="D113" s="6"/>
      <c r="E113" s="6"/>
      <c r="F113" s="6"/>
      <c r="G113" s="6"/>
      <c r="H113" s="6"/>
      <c r="I113" s="6"/>
      <c r="J113" s="6"/>
      <c r="K113" s="6"/>
      <c r="L113" s="6"/>
      <c r="M113" s="6"/>
      <c r="N113" s="6"/>
      <c r="O113" s="6"/>
      <c r="P113" s="6"/>
      <c r="Q113" s="6"/>
    </row>
    <row r="114" spans="1:17" hidden="1">
      <c r="A114" s="6" t="str">
        <f>"FB-00" &amp; TEXT(ROW() - ROW(tblFeedback[[#Headers],[Feedback ID]]), "0;-0")</f>
        <v>FB-00110</v>
      </c>
      <c r="B114" s="7"/>
      <c r="C114" s="6"/>
      <c r="D114" s="6"/>
      <c r="E114" s="6"/>
      <c r="F114" s="6"/>
      <c r="G114" s="6"/>
      <c r="H114" s="6"/>
      <c r="I114" s="6"/>
      <c r="J114" s="6"/>
      <c r="K114" s="6"/>
      <c r="L114" s="6"/>
      <c r="M114" s="6"/>
      <c r="N114" s="6"/>
      <c r="O114" s="6"/>
      <c r="P114" s="6"/>
      <c r="Q114" s="6"/>
    </row>
    <row r="115" spans="1:17" hidden="1">
      <c r="A115" s="6" t="str">
        <f>"FB-00" &amp; TEXT(ROW() - ROW(tblFeedback[[#Headers],[Feedback ID]]), "0;-0")</f>
        <v>FB-00111</v>
      </c>
      <c r="B115" s="7"/>
      <c r="C115" s="6"/>
      <c r="D115" s="6"/>
      <c r="E115" s="6"/>
      <c r="F115" s="6"/>
      <c r="G115" s="6"/>
      <c r="H115" s="6"/>
      <c r="I115" s="6"/>
      <c r="J115" s="6"/>
      <c r="K115" s="6"/>
      <c r="L115" s="6"/>
      <c r="M115" s="6"/>
      <c r="N115" s="6"/>
      <c r="O115" s="6"/>
      <c r="P115" s="6"/>
      <c r="Q115" s="6"/>
    </row>
    <row r="116" spans="1:17" hidden="1">
      <c r="A116" s="6" t="str">
        <f>"FB-00" &amp; TEXT(ROW() - ROW(tblFeedback[[#Headers],[Feedback ID]]), "0;-0")</f>
        <v>FB-00112</v>
      </c>
      <c r="B116" s="7"/>
      <c r="C116" s="6"/>
      <c r="D116" s="6"/>
      <c r="E116" s="6"/>
      <c r="F116" s="6"/>
      <c r="G116" s="6"/>
      <c r="H116" s="6"/>
      <c r="I116" s="6"/>
      <c r="J116" s="6"/>
      <c r="K116" s="6"/>
      <c r="L116" s="6"/>
      <c r="M116" s="6"/>
      <c r="N116" s="6"/>
      <c r="O116" s="6"/>
      <c r="P116" s="6"/>
      <c r="Q116" s="6"/>
    </row>
    <row r="117" spans="1:17" hidden="1">
      <c r="A117" s="6" t="str">
        <f>"FB-00" &amp; TEXT(ROW() - ROW(tblFeedback[[#Headers],[Feedback ID]]), "0;-0")</f>
        <v>FB-00113</v>
      </c>
      <c r="B117" s="7"/>
      <c r="C117" s="6"/>
      <c r="D117" s="6"/>
      <c r="E117" s="6"/>
      <c r="F117" s="6"/>
      <c r="G117" s="6"/>
      <c r="H117" s="6"/>
      <c r="I117" s="6"/>
      <c r="J117" s="6"/>
      <c r="K117" s="6"/>
      <c r="L117" s="6"/>
      <c r="M117" s="6"/>
      <c r="N117" s="6"/>
      <c r="O117" s="6"/>
      <c r="P117" s="6"/>
      <c r="Q117" s="6"/>
    </row>
    <row r="118" spans="1:17" hidden="1">
      <c r="A118" s="6" t="str">
        <f>"FB-00" &amp; TEXT(ROW() - ROW(tblFeedback[[#Headers],[Feedback ID]]), "0;-0")</f>
        <v>FB-00114</v>
      </c>
      <c r="B118" s="7"/>
      <c r="C118" s="6"/>
      <c r="D118" s="6"/>
      <c r="E118" s="6"/>
      <c r="F118" s="6"/>
      <c r="G118" s="6"/>
      <c r="H118" s="6"/>
      <c r="I118" s="6"/>
      <c r="J118" s="6"/>
      <c r="K118" s="6"/>
      <c r="L118" s="6"/>
      <c r="M118" s="6"/>
      <c r="N118" s="6"/>
      <c r="O118" s="6"/>
      <c r="P118" s="6"/>
      <c r="Q118" s="6"/>
    </row>
    <row r="119" spans="1:17" hidden="1">
      <c r="A119" s="6" t="str">
        <f>"FB-00" &amp; TEXT(ROW() - ROW(tblFeedback[[#Headers],[Feedback ID]]), "0;-0")</f>
        <v>FB-00115</v>
      </c>
      <c r="B119" s="7"/>
      <c r="C119" s="6"/>
      <c r="D119" s="6"/>
      <c r="E119" s="6"/>
      <c r="F119" s="6"/>
      <c r="G119" s="6"/>
      <c r="H119" s="6"/>
      <c r="I119" s="6"/>
      <c r="J119" s="6"/>
      <c r="K119" s="6"/>
      <c r="L119" s="6"/>
      <c r="M119" s="6"/>
      <c r="N119" s="6"/>
      <c r="O119" s="6"/>
      <c r="P119" s="6"/>
      <c r="Q119" s="6"/>
    </row>
    <row r="120" spans="1:17" hidden="1">
      <c r="A120" s="6" t="str">
        <f>"FB-00" &amp; TEXT(ROW() - ROW(tblFeedback[[#Headers],[Feedback ID]]), "0;-0")</f>
        <v>FB-00116</v>
      </c>
      <c r="B120" s="7"/>
      <c r="C120" s="6"/>
      <c r="D120" s="6"/>
      <c r="E120" s="6"/>
      <c r="F120" s="6"/>
      <c r="G120" s="6"/>
      <c r="H120" s="6"/>
      <c r="I120" s="6"/>
      <c r="J120" s="6"/>
      <c r="K120" s="6"/>
      <c r="L120" s="6"/>
      <c r="M120" s="6"/>
      <c r="N120" s="6"/>
      <c r="O120" s="6"/>
      <c r="P120" s="6"/>
      <c r="Q120" s="6"/>
    </row>
    <row r="121" spans="1:17" hidden="1">
      <c r="A121" s="6" t="str">
        <f>"FB-00" &amp; TEXT(ROW() - ROW(tblFeedback[[#Headers],[Feedback ID]]), "0;-0")</f>
        <v>FB-00117</v>
      </c>
      <c r="B121" s="7"/>
      <c r="C121" s="6"/>
      <c r="D121" s="6"/>
      <c r="E121" s="6"/>
      <c r="F121" s="6"/>
      <c r="G121" s="6"/>
      <c r="H121" s="6"/>
      <c r="I121" s="6"/>
      <c r="J121" s="6"/>
      <c r="K121" s="6"/>
      <c r="L121" s="6"/>
      <c r="M121" s="6"/>
      <c r="N121" s="6"/>
      <c r="O121" s="6"/>
      <c r="P121" s="6"/>
      <c r="Q121" s="6"/>
    </row>
    <row r="122" spans="1:17" hidden="1">
      <c r="A122" s="6" t="str">
        <f>"FB-00" &amp; TEXT(ROW() - ROW(tblFeedback[[#Headers],[Feedback ID]]), "0;-0")</f>
        <v>FB-00118</v>
      </c>
      <c r="B122" s="7"/>
      <c r="C122" s="6"/>
      <c r="D122" s="6"/>
      <c r="E122" s="6"/>
      <c r="F122" s="6"/>
      <c r="G122" s="6"/>
      <c r="H122" s="6"/>
      <c r="I122" s="6"/>
      <c r="J122" s="6"/>
      <c r="K122" s="6"/>
      <c r="L122" s="6"/>
      <c r="M122" s="6"/>
      <c r="N122" s="6"/>
      <c r="O122" s="6"/>
      <c r="P122" s="6"/>
      <c r="Q122" s="6"/>
    </row>
    <row r="123" spans="1:17" hidden="1">
      <c r="A123" s="6" t="str">
        <f>"FB-00" &amp; TEXT(ROW() - ROW(tblFeedback[[#Headers],[Feedback ID]]), "0;-0")</f>
        <v>FB-00119</v>
      </c>
      <c r="B123" s="7"/>
      <c r="C123" s="6"/>
      <c r="D123" s="6"/>
      <c r="E123" s="6"/>
      <c r="F123" s="6"/>
      <c r="G123" s="6"/>
      <c r="H123" s="6"/>
      <c r="I123" s="6"/>
      <c r="J123" s="6"/>
      <c r="K123" s="6"/>
      <c r="L123" s="6"/>
      <c r="M123" s="6"/>
      <c r="N123" s="6"/>
      <c r="O123" s="6"/>
      <c r="P123" s="6"/>
      <c r="Q123" s="6"/>
    </row>
    <row r="124" spans="1:17" hidden="1">
      <c r="A124" s="6" t="str">
        <f>"FB-00" &amp; TEXT(ROW() - ROW(tblFeedback[[#Headers],[Feedback ID]]), "0;-0")</f>
        <v>FB-00120</v>
      </c>
      <c r="B124" s="7"/>
      <c r="C124" s="6"/>
      <c r="D124" s="6"/>
      <c r="E124" s="6"/>
      <c r="F124" s="6"/>
      <c r="G124" s="6"/>
      <c r="H124" s="6"/>
      <c r="I124" s="6"/>
      <c r="J124" s="6"/>
      <c r="K124" s="6"/>
      <c r="L124" s="6"/>
      <c r="M124" s="6"/>
      <c r="N124" s="6"/>
      <c r="O124" s="6"/>
      <c r="P124" s="6"/>
      <c r="Q124" s="6"/>
    </row>
    <row r="125" spans="1:17" hidden="1">
      <c r="A125" s="6" t="str">
        <f>"FB-00" &amp; TEXT(ROW() - ROW(tblFeedback[[#Headers],[Feedback ID]]), "0;-0")</f>
        <v>FB-00121</v>
      </c>
      <c r="B125" s="7"/>
      <c r="C125" s="6"/>
      <c r="D125" s="6"/>
      <c r="E125" s="6"/>
      <c r="F125" s="6"/>
      <c r="G125" s="6"/>
      <c r="H125" s="6"/>
      <c r="I125" s="6"/>
      <c r="J125" s="6"/>
      <c r="K125" s="6"/>
      <c r="L125" s="6"/>
      <c r="M125" s="6"/>
      <c r="N125" s="6"/>
      <c r="O125" s="6"/>
      <c r="P125" s="6"/>
      <c r="Q125" s="6"/>
    </row>
    <row r="126" spans="1:17" hidden="1">
      <c r="A126" s="6" t="str">
        <f>"FB-00" &amp; TEXT(ROW() - ROW(tblFeedback[[#Headers],[Feedback ID]]), "0;-0")</f>
        <v>FB-00122</v>
      </c>
      <c r="B126" s="7"/>
      <c r="C126" s="6"/>
      <c r="D126" s="6"/>
      <c r="E126" s="6"/>
      <c r="F126" s="6"/>
      <c r="G126" s="6"/>
      <c r="H126" s="6"/>
      <c r="I126" s="6"/>
      <c r="J126" s="6"/>
      <c r="K126" s="6"/>
      <c r="L126" s="6"/>
      <c r="M126" s="6"/>
      <c r="N126" s="6"/>
      <c r="O126" s="6"/>
      <c r="P126" s="6"/>
      <c r="Q126" s="6"/>
    </row>
    <row r="127" spans="1:17" hidden="1">
      <c r="A127" s="6" t="str">
        <f>"FB-00" &amp; TEXT(ROW() - ROW(tblFeedback[[#Headers],[Feedback ID]]), "0;-0")</f>
        <v>FB-00123</v>
      </c>
      <c r="B127" s="7"/>
      <c r="C127" s="6"/>
      <c r="D127" s="6"/>
      <c r="E127" s="6"/>
      <c r="F127" s="6"/>
      <c r="G127" s="6"/>
      <c r="H127" s="6"/>
      <c r="I127" s="6"/>
      <c r="J127" s="6"/>
      <c r="K127" s="6"/>
      <c r="L127" s="6"/>
      <c r="M127" s="6"/>
      <c r="N127" s="6"/>
      <c r="O127" s="6"/>
      <c r="P127" s="6"/>
      <c r="Q127" s="6"/>
    </row>
    <row r="128" spans="1:17" hidden="1">
      <c r="A128" s="6" t="str">
        <f>"FB-00" &amp; TEXT(ROW() - ROW(tblFeedback[[#Headers],[Feedback ID]]), "0;-0")</f>
        <v>FB-00124</v>
      </c>
      <c r="B128" s="7"/>
      <c r="C128" s="6"/>
      <c r="D128" s="6"/>
      <c r="E128" s="6"/>
      <c r="F128" s="6"/>
      <c r="G128" s="6"/>
      <c r="H128" s="6"/>
      <c r="I128" s="6"/>
      <c r="J128" s="6"/>
      <c r="K128" s="6"/>
      <c r="L128" s="6"/>
      <c r="M128" s="6"/>
      <c r="N128" s="6"/>
      <c r="O128" s="6"/>
      <c r="P128" s="6"/>
      <c r="Q128" s="6"/>
    </row>
    <row r="129" spans="1:17" hidden="1">
      <c r="A129" s="6" t="str">
        <f>"FB-00" &amp; TEXT(ROW() - ROW(tblFeedback[[#Headers],[Feedback ID]]), "0;-0")</f>
        <v>FB-00125</v>
      </c>
      <c r="B129" s="7"/>
      <c r="C129" s="6"/>
      <c r="D129" s="6"/>
      <c r="E129" s="6"/>
      <c r="F129" s="6"/>
      <c r="G129" s="6"/>
      <c r="H129" s="6"/>
      <c r="I129" s="6"/>
      <c r="J129" s="6"/>
      <c r="K129" s="6"/>
      <c r="L129" s="6"/>
      <c r="M129" s="6"/>
      <c r="N129" s="6"/>
      <c r="O129" s="6"/>
      <c r="P129" s="6"/>
      <c r="Q129" s="6"/>
    </row>
    <row r="130" spans="1:17" hidden="1">
      <c r="A130" s="6" t="str">
        <f>"FB-00" &amp; TEXT(ROW() - ROW(tblFeedback[[#Headers],[Feedback ID]]), "0;-0")</f>
        <v>FB-00126</v>
      </c>
      <c r="B130" s="7"/>
      <c r="C130" s="6"/>
      <c r="D130" s="6"/>
      <c r="E130" s="6"/>
      <c r="F130" s="6"/>
      <c r="G130" s="6"/>
      <c r="H130" s="6"/>
      <c r="I130" s="6"/>
      <c r="J130" s="6"/>
      <c r="K130" s="6"/>
      <c r="L130" s="6"/>
      <c r="M130" s="6"/>
      <c r="N130" s="6"/>
      <c r="O130" s="6"/>
      <c r="P130" s="6"/>
      <c r="Q130" s="6"/>
    </row>
    <row r="131" spans="1:17" hidden="1">
      <c r="A131" s="6" t="str">
        <f>"FB-00" &amp; TEXT(ROW() - ROW(tblFeedback[[#Headers],[Feedback ID]]), "0;-0")</f>
        <v>FB-00127</v>
      </c>
      <c r="B131" s="7"/>
      <c r="C131" s="6"/>
      <c r="D131" s="6"/>
      <c r="E131" s="6"/>
      <c r="F131" s="6"/>
      <c r="G131" s="6"/>
      <c r="H131" s="6"/>
      <c r="I131" s="6"/>
      <c r="J131" s="6"/>
      <c r="K131" s="6"/>
      <c r="L131" s="6"/>
      <c r="M131" s="6"/>
      <c r="N131" s="6"/>
      <c r="O131" s="6"/>
      <c r="P131" s="6"/>
      <c r="Q131" s="6"/>
    </row>
    <row r="132" spans="1:17" hidden="1">
      <c r="A132" s="6" t="str">
        <f>"FB-00" &amp; TEXT(ROW() - ROW(tblFeedback[[#Headers],[Feedback ID]]), "0;-0")</f>
        <v>FB-00128</v>
      </c>
      <c r="B132" s="7"/>
      <c r="C132" s="6"/>
      <c r="D132" s="6"/>
      <c r="E132" s="6"/>
      <c r="F132" s="6"/>
      <c r="G132" s="6"/>
      <c r="H132" s="6"/>
      <c r="I132" s="6"/>
      <c r="J132" s="6"/>
      <c r="K132" s="6"/>
      <c r="L132" s="6"/>
      <c r="M132" s="6"/>
      <c r="N132" s="6"/>
      <c r="O132" s="6"/>
      <c r="P132" s="6"/>
      <c r="Q132" s="6"/>
    </row>
    <row r="133" spans="1:17" hidden="1">
      <c r="A133" s="6" t="str">
        <f>"FB-00" &amp; TEXT(ROW() - ROW(tblFeedback[[#Headers],[Feedback ID]]), "0;-0")</f>
        <v>FB-00129</v>
      </c>
      <c r="B133" s="7"/>
      <c r="C133" s="6"/>
      <c r="D133" s="6"/>
      <c r="E133" s="6"/>
      <c r="F133" s="6"/>
      <c r="G133" s="6"/>
      <c r="H133" s="6"/>
      <c r="I133" s="6"/>
      <c r="J133" s="6"/>
      <c r="K133" s="6"/>
      <c r="L133" s="6"/>
      <c r="M133" s="6"/>
      <c r="N133" s="6"/>
      <c r="O133" s="6"/>
      <c r="P133" s="6"/>
      <c r="Q133" s="6"/>
    </row>
    <row r="134" spans="1:17" hidden="1">
      <c r="A134" s="6" t="str">
        <f>"FB-00" &amp; TEXT(ROW() - ROW(tblFeedback[[#Headers],[Feedback ID]]), "0;-0")</f>
        <v>FB-00130</v>
      </c>
      <c r="B134" s="7"/>
      <c r="C134" s="6"/>
      <c r="D134" s="6"/>
      <c r="E134" s="6"/>
      <c r="F134" s="6"/>
      <c r="G134" s="6"/>
      <c r="H134" s="6"/>
      <c r="I134" s="6"/>
      <c r="J134" s="6"/>
      <c r="K134" s="6"/>
      <c r="L134" s="6"/>
      <c r="M134" s="6"/>
      <c r="N134" s="6"/>
      <c r="O134" s="6"/>
      <c r="P134" s="6"/>
      <c r="Q134" s="6"/>
    </row>
    <row r="135" spans="1:17" hidden="1">
      <c r="A135" s="6" t="str">
        <f>"FB-00" &amp; TEXT(ROW() - ROW(tblFeedback[[#Headers],[Feedback ID]]), "0;-0")</f>
        <v>FB-00131</v>
      </c>
      <c r="B135" s="7"/>
      <c r="C135" s="6"/>
      <c r="D135" s="6"/>
      <c r="E135" s="6"/>
      <c r="F135" s="6"/>
      <c r="G135" s="6"/>
      <c r="H135" s="6"/>
      <c r="I135" s="6"/>
      <c r="J135" s="6"/>
      <c r="K135" s="6"/>
      <c r="L135" s="6"/>
      <c r="M135" s="6"/>
      <c r="N135" s="6"/>
      <c r="O135" s="6"/>
      <c r="P135" s="6"/>
      <c r="Q135" s="6"/>
    </row>
    <row r="136" spans="1:17" hidden="1">
      <c r="A136" s="6" t="str">
        <f>"FB-00" &amp; TEXT(ROW() - ROW(tblFeedback[[#Headers],[Feedback ID]]), "0;-0")</f>
        <v>FB-00132</v>
      </c>
      <c r="B136" s="7"/>
      <c r="C136" s="6"/>
      <c r="D136" s="6"/>
      <c r="E136" s="6"/>
      <c r="F136" s="6"/>
      <c r="G136" s="6"/>
      <c r="H136" s="6"/>
      <c r="I136" s="6"/>
      <c r="J136" s="6"/>
      <c r="K136" s="6"/>
      <c r="L136" s="6"/>
      <c r="M136" s="6"/>
      <c r="N136" s="6"/>
      <c r="O136" s="6"/>
      <c r="P136" s="6"/>
      <c r="Q136" s="6"/>
    </row>
    <row r="137" spans="1:17" hidden="1">
      <c r="A137" s="6" t="str">
        <f>"FB-00" &amp; TEXT(ROW() - ROW(tblFeedback[[#Headers],[Feedback ID]]), "0;-0")</f>
        <v>FB-00133</v>
      </c>
      <c r="B137" s="7"/>
      <c r="C137" s="6"/>
      <c r="D137" s="6"/>
      <c r="E137" s="6"/>
      <c r="F137" s="6"/>
      <c r="G137" s="6"/>
      <c r="H137" s="6"/>
      <c r="I137" s="6"/>
      <c r="J137" s="6"/>
      <c r="K137" s="6"/>
      <c r="L137" s="6"/>
      <c r="M137" s="6"/>
      <c r="N137" s="6"/>
      <c r="O137" s="6"/>
      <c r="P137" s="6"/>
      <c r="Q137" s="6"/>
    </row>
    <row r="138" spans="1:17" hidden="1">
      <c r="A138" s="6" t="str">
        <f>"FB-00" &amp; TEXT(ROW() - ROW(tblFeedback[[#Headers],[Feedback ID]]), "0;-0")</f>
        <v>FB-00134</v>
      </c>
      <c r="B138" s="7"/>
      <c r="C138" s="6"/>
      <c r="D138" s="6"/>
      <c r="E138" s="6"/>
      <c r="F138" s="6"/>
      <c r="G138" s="6"/>
      <c r="H138" s="6"/>
      <c r="I138" s="6"/>
      <c r="J138" s="6"/>
      <c r="K138" s="6"/>
      <c r="L138" s="6"/>
      <c r="M138" s="6"/>
      <c r="N138" s="6"/>
      <c r="O138" s="6"/>
      <c r="P138" s="6"/>
      <c r="Q138" s="6"/>
    </row>
    <row r="139" spans="1:17" hidden="1">
      <c r="A139" s="6" t="str">
        <f>"FB-00" &amp; TEXT(ROW() - ROW(tblFeedback[[#Headers],[Feedback ID]]), "0;-0")</f>
        <v>FB-00135</v>
      </c>
      <c r="B139" s="7"/>
      <c r="C139" s="6"/>
      <c r="D139" s="6"/>
      <c r="E139" s="6"/>
      <c r="F139" s="6"/>
      <c r="G139" s="6"/>
      <c r="H139" s="6"/>
      <c r="I139" s="6"/>
      <c r="J139" s="6"/>
      <c r="K139" s="6"/>
      <c r="L139" s="6"/>
      <c r="M139" s="6"/>
      <c r="N139" s="6"/>
      <c r="O139" s="6"/>
      <c r="P139" s="6"/>
      <c r="Q139" s="6"/>
    </row>
    <row r="140" spans="1:17" hidden="1">
      <c r="A140" s="6" t="str">
        <f>"FB-00" &amp; TEXT(ROW() - ROW(tblFeedback[[#Headers],[Feedback ID]]), "0;-0")</f>
        <v>FB-00136</v>
      </c>
      <c r="B140" s="7"/>
      <c r="C140" s="6"/>
      <c r="D140" s="6"/>
      <c r="E140" s="6"/>
      <c r="F140" s="6"/>
      <c r="G140" s="6"/>
      <c r="H140" s="6"/>
      <c r="I140" s="6"/>
      <c r="J140" s="6"/>
      <c r="K140" s="6"/>
      <c r="L140" s="6"/>
      <c r="M140" s="6"/>
      <c r="N140" s="6"/>
      <c r="O140" s="6"/>
      <c r="P140" s="6"/>
      <c r="Q140" s="6"/>
    </row>
    <row r="141" spans="1:17" hidden="1">
      <c r="A141" s="6" t="str">
        <f>"FB-00" &amp; TEXT(ROW() - ROW(tblFeedback[[#Headers],[Feedback ID]]), "0;-0")</f>
        <v>FB-00137</v>
      </c>
      <c r="B141" s="7"/>
      <c r="C141" s="6"/>
      <c r="D141" s="6"/>
      <c r="E141" s="6"/>
      <c r="F141" s="6"/>
      <c r="G141" s="6"/>
      <c r="H141" s="6"/>
      <c r="I141" s="6"/>
      <c r="J141" s="6"/>
      <c r="K141" s="6"/>
      <c r="L141" s="6"/>
      <c r="M141" s="6"/>
      <c r="N141" s="6"/>
      <c r="O141" s="6"/>
      <c r="P141" s="6"/>
      <c r="Q141" s="6"/>
    </row>
    <row r="142" spans="1:17" hidden="1">
      <c r="A142" s="6" t="str">
        <f>"FB-00" &amp; TEXT(ROW() - ROW(tblFeedback[[#Headers],[Feedback ID]]), "0;-0")</f>
        <v>FB-00138</v>
      </c>
      <c r="B142" s="7"/>
      <c r="C142" s="6"/>
      <c r="D142" s="6"/>
      <c r="E142" s="6"/>
      <c r="F142" s="6"/>
      <c r="G142" s="6"/>
      <c r="H142" s="6"/>
      <c r="I142" s="6"/>
      <c r="J142" s="6"/>
      <c r="K142" s="6"/>
      <c r="L142" s="6"/>
      <c r="M142" s="6"/>
      <c r="N142" s="6"/>
      <c r="O142" s="6"/>
      <c r="P142" s="6"/>
      <c r="Q142" s="6"/>
    </row>
    <row r="143" spans="1:17" hidden="1">
      <c r="A143" s="6" t="str">
        <f>"FB-00" &amp; TEXT(ROW() - ROW(tblFeedback[[#Headers],[Feedback ID]]), "0;-0")</f>
        <v>FB-00139</v>
      </c>
      <c r="B143" s="7"/>
      <c r="C143" s="6"/>
      <c r="D143" s="6"/>
      <c r="E143" s="6"/>
      <c r="F143" s="6"/>
      <c r="G143" s="6"/>
      <c r="H143" s="6"/>
      <c r="I143" s="6"/>
      <c r="J143" s="6"/>
      <c r="K143" s="6"/>
      <c r="L143" s="6"/>
      <c r="M143" s="6"/>
      <c r="N143" s="6"/>
      <c r="O143" s="6"/>
      <c r="P143" s="6"/>
      <c r="Q143" s="6"/>
    </row>
    <row r="144" spans="1:17" hidden="1">
      <c r="A144" s="6" t="str">
        <f>"FB-00" &amp; TEXT(ROW() - ROW(tblFeedback[[#Headers],[Feedback ID]]), "0;-0")</f>
        <v>FB-00140</v>
      </c>
      <c r="B144" s="7"/>
      <c r="C144" s="6"/>
      <c r="D144" s="6"/>
      <c r="E144" s="6"/>
      <c r="F144" s="6"/>
      <c r="G144" s="6"/>
      <c r="H144" s="6"/>
      <c r="I144" s="6"/>
      <c r="J144" s="6"/>
      <c r="K144" s="6"/>
      <c r="L144" s="6"/>
      <c r="M144" s="6"/>
      <c r="N144" s="6"/>
      <c r="O144" s="6"/>
      <c r="P144" s="6"/>
      <c r="Q144" s="6"/>
    </row>
    <row r="145" spans="1:17" hidden="1">
      <c r="A145" s="6" t="str">
        <f>"FB-00" &amp; TEXT(ROW() - ROW(tblFeedback[[#Headers],[Feedback ID]]), "0;-0")</f>
        <v>FB-00141</v>
      </c>
      <c r="B145" s="7"/>
      <c r="C145" s="6"/>
      <c r="D145" s="6"/>
      <c r="E145" s="6"/>
      <c r="F145" s="6"/>
      <c r="G145" s="6"/>
      <c r="H145" s="6"/>
      <c r="I145" s="6"/>
      <c r="J145" s="6"/>
      <c r="K145" s="6"/>
      <c r="L145" s="6"/>
      <c r="M145" s="6"/>
      <c r="N145" s="6"/>
      <c r="O145" s="6"/>
      <c r="P145" s="6"/>
      <c r="Q145" s="6"/>
    </row>
    <row r="146" spans="1:17" hidden="1">
      <c r="A146" s="6" t="str">
        <f>"FB-00" &amp; TEXT(ROW() - ROW(tblFeedback[[#Headers],[Feedback ID]]), "0;-0")</f>
        <v>FB-00142</v>
      </c>
      <c r="B146" s="7"/>
      <c r="C146" s="6"/>
      <c r="D146" s="6"/>
      <c r="E146" s="6"/>
      <c r="F146" s="6"/>
      <c r="G146" s="6"/>
      <c r="H146" s="6"/>
      <c r="I146" s="6"/>
      <c r="J146" s="6"/>
      <c r="K146" s="6"/>
      <c r="L146" s="6"/>
      <c r="M146" s="6"/>
      <c r="N146" s="6"/>
      <c r="O146" s="6"/>
      <c r="P146" s="6"/>
      <c r="Q146" s="6"/>
    </row>
    <row r="147" spans="1:17" hidden="1">
      <c r="A147" s="6" t="str">
        <f>"FB-00" &amp; TEXT(ROW() - ROW(tblFeedback[[#Headers],[Feedback ID]]), "0;-0")</f>
        <v>FB-00143</v>
      </c>
      <c r="B147" s="7"/>
      <c r="C147" s="6"/>
      <c r="D147" s="6"/>
      <c r="E147" s="6"/>
      <c r="F147" s="6"/>
      <c r="G147" s="6"/>
      <c r="H147" s="6"/>
      <c r="I147" s="6"/>
      <c r="J147" s="6"/>
      <c r="K147" s="6"/>
      <c r="L147" s="6"/>
      <c r="M147" s="6"/>
      <c r="N147" s="6"/>
      <c r="O147" s="6"/>
      <c r="P147" s="6"/>
      <c r="Q147" s="6"/>
    </row>
    <row r="148" spans="1:17" hidden="1">
      <c r="A148" s="6" t="str">
        <f>"FB-00" &amp; TEXT(ROW() - ROW(tblFeedback[[#Headers],[Feedback ID]]), "0;-0")</f>
        <v>FB-00144</v>
      </c>
      <c r="B148" s="7"/>
      <c r="C148" s="6"/>
      <c r="D148" s="6"/>
      <c r="E148" s="6"/>
      <c r="F148" s="6"/>
      <c r="G148" s="6"/>
      <c r="H148" s="6"/>
      <c r="I148" s="6"/>
      <c r="J148" s="6"/>
      <c r="K148" s="6"/>
      <c r="L148" s="6"/>
      <c r="M148" s="6"/>
      <c r="N148" s="6"/>
      <c r="O148" s="6"/>
      <c r="P148" s="6"/>
      <c r="Q148" s="6"/>
    </row>
    <row r="149" spans="1:17" hidden="1">
      <c r="A149" s="6" t="str">
        <f>"FB-00" &amp; TEXT(ROW() - ROW(tblFeedback[[#Headers],[Feedback ID]]), "0;-0")</f>
        <v>FB-00145</v>
      </c>
      <c r="B149" s="7"/>
      <c r="C149" s="6"/>
      <c r="D149" s="6"/>
      <c r="E149" s="6"/>
      <c r="F149" s="6"/>
      <c r="G149" s="6"/>
      <c r="H149" s="6"/>
      <c r="I149" s="6"/>
      <c r="J149" s="6"/>
      <c r="K149" s="6"/>
      <c r="L149" s="6"/>
      <c r="M149" s="6"/>
      <c r="N149" s="6"/>
      <c r="O149" s="6"/>
      <c r="P149" s="6"/>
      <c r="Q149" s="6"/>
    </row>
    <row r="150" spans="1:17" hidden="1">
      <c r="A150" s="6" t="str">
        <f>"FB-00" &amp; TEXT(ROW() - ROW(tblFeedback[[#Headers],[Feedback ID]]), "0;-0")</f>
        <v>FB-00146</v>
      </c>
      <c r="B150" s="7"/>
      <c r="C150" s="6"/>
      <c r="D150" s="6"/>
      <c r="E150" s="6"/>
      <c r="F150" s="6"/>
      <c r="G150" s="6"/>
      <c r="H150" s="6"/>
      <c r="I150" s="6"/>
      <c r="J150" s="6"/>
      <c r="K150" s="6"/>
      <c r="L150" s="6"/>
      <c r="M150" s="6"/>
      <c r="N150" s="6"/>
      <c r="O150" s="6"/>
      <c r="P150" s="6"/>
      <c r="Q150" s="6"/>
    </row>
    <row r="151" spans="1:17" hidden="1">
      <c r="A151" s="6" t="str">
        <f>"FB-00" &amp; TEXT(ROW() - ROW(tblFeedback[[#Headers],[Feedback ID]]), "0;-0")</f>
        <v>FB-00147</v>
      </c>
      <c r="B151" s="7"/>
      <c r="C151" s="6"/>
      <c r="D151" s="6"/>
      <c r="E151" s="6"/>
      <c r="F151" s="6"/>
      <c r="G151" s="6"/>
      <c r="H151" s="6"/>
      <c r="I151" s="6"/>
      <c r="J151" s="6"/>
      <c r="K151" s="6"/>
      <c r="L151" s="6"/>
      <c r="M151" s="6"/>
      <c r="N151" s="6"/>
      <c r="O151" s="6"/>
      <c r="P151" s="6"/>
      <c r="Q151" s="6"/>
    </row>
    <row r="152" spans="1:17" hidden="1">
      <c r="A152" s="6" t="str">
        <f>"FB-00" &amp; TEXT(ROW() - ROW(tblFeedback[[#Headers],[Feedback ID]]), "0;-0")</f>
        <v>FB-00148</v>
      </c>
      <c r="B152" s="7"/>
      <c r="C152" s="6"/>
      <c r="D152" s="6"/>
      <c r="E152" s="6"/>
      <c r="F152" s="6"/>
      <c r="G152" s="6"/>
      <c r="H152" s="6"/>
      <c r="I152" s="6"/>
      <c r="J152" s="6"/>
      <c r="K152" s="6"/>
      <c r="L152" s="6"/>
      <c r="M152" s="6"/>
      <c r="N152" s="6"/>
      <c r="O152" s="6"/>
      <c r="P152" s="6"/>
      <c r="Q152" s="6"/>
    </row>
    <row r="153" spans="1:17" hidden="1">
      <c r="A153" s="6" t="str">
        <f>"FB-00" &amp; TEXT(ROW() - ROW(tblFeedback[[#Headers],[Feedback ID]]), "0;-0")</f>
        <v>FB-00149</v>
      </c>
      <c r="B153" s="7"/>
      <c r="C153" s="6"/>
      <c r="D153" s="6"/>
      <c r="E153" s="6"/>
      <c r="F153" s="6"/>
      <c r="G153" s="6"/>
      <c r="H153" s="6"/>
      <c r="I153" s="6"/>
      <c r="J153" s="6"/>
      <c r="K153" s="6"/>
      <c r="L153" s="6"/>
      <c r="M153" s="6"/>
      <c r="N153" s="6"/>
      <c r="O153" s="6"/>
      <c r="P153" s="6"/>
      <c r="Q153" s="6"/>
    </row>
    <row r="154" spans="1:17" hidden="1">
      <c r="A154" s="6" t="str">
        <f>"FB-00" &amp; TEXT(ROW() - ROW(tblFeedback[[#Headers],[Feedback ID]]), "0;-0")</f>
        <v>FB-00150</v>
      </c>
      <c r="B154" s="7"/>
      <c r="C154" s="6"/>
      <c r="D154" s="6"/>
      <c r="E154" s="6"/>
      <c r="F154" s="6"/>
      <c r="G154" s="6"/>
      <c r="H154" s="6"/>
      <c r="I154" s="6"/>
      <c r="J154" s="6"/>
      <c r="K154" s="6"/>
      <c r="L154" s="6"/>
      <c r="M154" s="6"/>
      <c r="N154" s="6"/>
      <c r="O154" s="6"/>
      <c r="P154" s="6"/>
      <c r="Q154" s="6"/>
    </row>
  </sheetData>
  <mergeCells count="2">
    <mergeCell ref="A2:H2"/>
    <mergeCell ref="A1:H1"/>
  </mergeCells>
  <conditionalFormatting sqref="H5:H19 H21:H154">
    <cfRule type="expression" dxfId="13" priority="1">
      <formula>H5="Critical"</formula>
    </cfRule>
    <cfRule type="expression" dxfId="12" priority="2">
      <formula>H5="High"</formula>
    </cfRule>
    <cfRule type="expression" dxfId="11" priority="3">
      <formula>H5="Medium"</formula>
    </cfRule>
    <cfRule type="expression" dxfId="10" priority="4">
      <formula>H5="Low"</formula>
    </cfRule>
  </conditionalFormatting>
  <conditionalFormatting sqref="O5:O154">
    <cfRule type="expression" dxfId="9" priority="5">
      <formula>O5="Completed"</formula>
    </cfRule>
    <cfRule type="expression" dxfId="8" priority="6">
      <formula>O5="Rejected"</formula>
    </cfRule>
    <cfRule type="expression" dxfId="7" priority="7">
      <formula>O5="Deferred"</formula>
    </cfRule>
  </conditionalFormatting>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5">
        <x14:dataValidation type="list" allowBlank="1" errorTitle="Invalid entry" error="Select a value from the dropdown list." promptTitle="Input guidance" prompt="Choose from the dropdown list." xr:uid="{00000000-0002-0000-0400-000004000000}">
          <x14:formula1>
            <xm:f>Lists!$B$2:$B$50</xm:f>
          </x14:formula1>
          <xm:sqref>O5:O154</xm:sqref>
        </x14:dataValidation>
        <x14:dataValidation type="list" allowBlank="1" errorTitle="Invalid entry" error="Select a value from the dropdown list." promptTitle="Input guidance" prompt="Choose from the dropdown list." xr:uid="{00000000-0002-0000-0400-000000000000}">
          <x14:formula1>
            <xm:f>Lists!$J$2:$J$50</xm:f>
          </x14:formula1>
          <xm:sqref>C5:C154</xm:sqref>
        </x14:dataValidation>
        <x14:dataValidation type="list" allowBlank="1" errorTitle="Invalid entry" error="Select a value from the dropdown list." promptTitle="Input guidance" prompt="Choose from the dropdown list." xr:uid="{00000000-0002-0000-0400-000001000000}">
          <x14:formula1>
            <xm:f>Lists!$F$2:$F$50</xm:f>
          </x14:formula1>
          <xm:sqref>E5:E55 E58:E154</xm:sqref>
        </x14:dataValidation>
        <x14:dataValidation type="list" allowBlank="1" errorTitle="Invalid entry" error="Select a value from the dropdown list." promptTitle="Input guidance" prompt="Choose from the dropdown list." xr:uid="{00000000-0002-0000-0400-000002000000}">
          <x14:formula1>
            <xm:f>Lists!$D$2:$D$50</xm:f>
          </x14:formula1>
          <xm:sqref>G5:G19 G21:G154</xm:sqref>
        </x14:dataValidation>
        <x14:dataValidation type="list" allowBlank="1" errorTitle="Invalid entry" error="Select a value from the dropdown list." promptTitle="Input guidance" prompt="Choose from the dropdown list." xr:uid="{00000000-0002-0000-0400-000003000000}">
          <x14:formula1>
            <xm:f>Lists!$E$2:$E$50</xm:f>
          </x14:formula1>
          <xm:sqref>H5:H19 H21:H154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5"/>
  <sheetViews>
    <sheetView showGridLines="0" workbookViewId="0">
      <pane ySplit="4" topLeftCell="A14" activePane="bottomLeft" state="frozen"/>
      <selection pane="bottomLeft" activeCell="F14" sqref="F14"/>
    </sheetView>
  </sheetViews>
  <sheetFormatPr defaultRowHeight="15"/>
  <cols>
    <col min="1" max="1" width="15" customWidth="1"/>
    <col min="2" max="2" width="14" customWidth="1"/>
    <col min="3" max="3" width="20" customWidth="1"/>
    <col min="4" max="4" width="22" customWidth="1"/>
    <col min="5" max="5" width="20" customWidth="1"/>
    <col min="6" max="6" width="42" customWidth="1"/>
    <col min="7" max="7" width="40" hidden="1" customWidth="1"/>
    <col min="8" max="9" width="14" hidden="1" customWidth="1"/>
    <col min="10" max="10" width="16" hidden="1" customWidth="1"/>
    <col min="11" max="11" width="17" hidden="1" customWidth="1"/>
    <col min="12" max="12" width="20" hidden="1" customWidth="1"/>
    <col min="13" max="13" width="24" hidden="1" customWidth="1"/>
    <col min="14" max="14" width="35" customWidth="1"/>
  </cols>
  <sheetData>
    <row r="1" spans="1:14" ht="21.95" customHeight="1">
      <c r="A1" s="23" t="s">
        <v>297</v>
      </c>
      <c r="B1" s="33"/>
      <c r="C1" s="33"/>
      <c r="D1" s="33"/>
      <c r="E1" s="33"/>
      <c r="F1" s="33"/>
      <c r="G1" s="33"/>
      <c r="H1" s="33"/>
    </row>
    <row r="2" spans="1:14" ht="21.95" customHeight="1">
      <c r="A2" s="22" t="s">
        <v>298</v>
      </c>
      <c r="B2" s="33"/>
      <c r="C2" s="33"/>
      <c r="D2" s="33"/>
      <c r="E2" s="33"/>
      <c r="F2" s="33"/>
      <c r="G2" s="33"/>
      <c r="H2" s="33"/>
    </row>
    <row r="3" spans="1:14" ht="21.95" customHeight="1"/>
    <row r="4" spans="1:14" ht="21.95" customHeight="1">
      <c r="A4" s="5" t="s">
        <v>299</v>
      </c>
      <c r="B4" s="5" t="s">
        <v>120</v>
      </c>
      <c r="C4" s="5" t="s">
        <v>300</v>
      </c>
      <c r="D4" s="5" t="s">
        <v>301</v>
      </c>
      <c r="E4" s="5" t="s">
        <v>36</v>
      </c>
      <c r="F4" s="5" t="s">
        <v>302</v>
      </c>
      <c r="G4" s="5" t="s">
        <v>303</v>
      </c>
      <c r="H4" s="5" t="s">
        <v>304</v>
      </c>
      <c r="I4" s="5" t="s">
        <v>305</v>
      </c>
      <c r="J4" s="5" t="s">
        <v>306</v>
      </c>
      <c r="K4" s="5" t="s">
        <v>33</v>
      </c>
      <c r="L4" s="5" t="s">
        <v>73</v>
      </c>
      <c r="M4" s="5" t="s">
        <v>130</v>
      </c>
      <c r="N4" s="5" t="s">
        <v>77</v>
      </c>
    </row>
    <row r="5" spans="1:14" ht="31.5" hidden="1" customHeight="1">
      <c r="A5" s="6" t="str">
        <f>"SUG-00" &amp; TEXT(ROW() - ROW(tblSuggestions[[#Headers],[Suggestion ID]]), "0;-0")</f>
        <v>SUG-001</v>
      </c>
      <c r="B5" s="7">
        <v>46245</v>
      </c>
      <c r="C5" s="6" t="s">
        <v>83</v>
      </c>
      <c r="D5" s="6"/>
      <c r="E5" s="6"/>
      <c r="F5" s="6" t="s">
        <v>307</v>
      </c>
      <c r="G5" s="6"/>
      <c r="H5" s="6"/>
      <c r="I5" s="6"/>
      <c r="J5" s="8"/>
      <c r="K5" s="6"/>
      <c r="L5" s="6"/>
      <c r="M5" s="6"/>
      <c r="N5" s="6"/>
    </row>
    <row r="6" spans="1:14" ht="21.95" hidden="1" customHeight="1">
      <c r="A6" s="6" t="str">
        <f>"SUG-00" &amp; TEXT(ROW() - ROW(tblSuggestions[[#Headers],[Suggestion ID]]), "0;-0")</f>
        <v>SUG-002</v>
      </c>
      <c r="B6" s="7">
        <v>46255</v>
      </c>
      <c r="C6" s="6" t="s">
        <v>83</v>
      </c>
      <c r="D6" s="6"/>
      <c r="E6" s="6"/>
      <c r="F6" s="6" t="s">
        <v>308</v>
      </c>
      <c r="G6" s="6"/>
      <c r="H6" s="6"/>
      <c r="I6" s="6"/>
      <c r="J6" s="8"/>
      <c r="K6" s="6"/>
      <c r="L6" s="6"/>
      <c r="M6" s="6"/>
      <c r="N6" s="6"/>
    </row>
    <row r="7" spans="1:14" ht="76.5" hidden="1" customHeight="1">
      <c r="A7" s="6" t="str">
        <f>"SUG-00" &amp; TEXT(ROW() - ROW(tblSuggestions[[#Headers],[Suggestion ID]]), "0;-0")</f>
        <v>SUG-003</v>
      </c>
      <c r="B7" s="7">
        <v>46258</v>
      </c>
      <c r="C7" s="6" t="s">
        <v>83</v>
      </c>
      <c r="D7" s="6"/>
      <c r="E7" s="17" t="s">
        <v>309</v>
      </c>
      <c r="F7" s="6" t="s">
        <v>310</v>
      </c>
      <c r="G7" s="6"/>
      <c r="H7" s="6"/>
      <c r="I7" s="6"/>
      <c r="J7" s="8">
        <f t="shared" ref="J7:J36" si="0">IF($F7="","",IF($H7="High",3,IF($H7="Medium",2,IF($H7="Low",1,0)))+IF($I7="Low",3,IF($I7="Medium",2,IF($I7="High",1,0))))</f>
        <v>0</v>
      </c>
      <c r="K7" s="6"/>
      <c r="L7" s="6"/>
      <c r="M7" s="6"/>
      <c r="N7" s="6"/>
    </row>
    <row r="8" spans="1:14" ht="21.95" hidden="1" customHeight="1">
      <c r="A8" s="6" t="str">
        <f>"SUG-00" &amp; TEXT(ROW() - ROW(tblSuggestions[[#Headers],[Suggestion ID]]), "0;-0")</f>
        <v>SUG-004</v>
      </c>
      <c r="B8" s="7">
        <v>46258</v>
      </c>
      <c r="C8" s="6" t="s">
        <v>83</v>
      </c>
      <c r="D8" s="6"/>
      <c r="E8" s="6" t="s">
        <v>311</v>
      </c>
      <c r="F8" s="18" t="s">
        <v>312</v>
      </c>
      <c r="G8" s="6"/>
      <c r="H8" s="6"/>
      <c r="I8" s="6"/>
      <c r="J8" s="8">
        <f t="shared" si="0"/>
        <v>0</v>
      </c>
      <c r="K8" s="6"/>
      <c r="L8" s="6"/>
      <c r="M8" s="6"/>
      <c r="N8" s="6"/>
    </row>
    <row r="9" spans="1:14" ht="48" hidden="1" customHeight="1">
      <c r="A9" s="6" t="str">
        <f>"SUG-00" &amp; TEXT(ROW() - ROW(tblSuggestions[[#Headers],[Suggestion ID]]), "0;-0")</f>
        <v>SUG-005</v>
      </c>
      <c r="B9" s="7">
        <v>46258</v>
      </c>
      <c r="C9" s="6" t="s">
        <v>83</v>
      </c>
      <c r="D9" s="6"/>
      <c r="E9" s="6" t="s">
        <v>313</v>
      </c>
      <c r="F9" s="6" t="s">
        <v>314</v>
      </c>
      <c r="G9" s="6"/>
      <c r="H9" s="6"/>
      <c r="I9" s="6"/>
      <c r="J9" s="8">
        <f t="shared" si="0"/>
        <v>0</v>
      </c>
      <c r="K9" s="6"/>
      <c r="L9" s="6"/>
      <c r="M9" s="6"/>
      <c r="N9" s="6"/>
    </row>
    <row r="10" spans="1:14" ht="66" hidden="1" customHeight="1">
      <c r="A10" s="6" t="str">
        <f>"SUG-00" &amp; TEXT(ROW() - ROW(tblSuggestions[[#Headers],[Suggestion ID]]), "0;-0")</f>
        <v>SUG-006</v>
      </c>
      <c r="B10" s="7">
        <v>46258</v>
      </c>
      <c r="C10" s="6" t="s">
        <v>83</v>
      </c>
      <c r="D10" s="6"/>
      <c r="E10" s="6" t="s">
        <v>315</v>
      </c>
      <c r="F10" s="6" t="s">
        <v>316</v>
      </c>
      <c r="G10" s="6"/>
      <c r="H10" s="6"/>
      <c r="I10" s="6"/>
      <c r="J10" s="8">
        <f t="shared" si="0"/>
        <v>0</v>
      </c>
      <c r="K10" s="6"/>
      <c r="L10" s="6"/>
      <c r="M10" s="6"/>
      <c r="N10" s="6"/>
    </row>
    <row r="11" spans="1:14" ht="82.5" hidden="1" customHeight="1">
      <c r="A11" s="6" t="str">
        <f>"SUG-00" &amp; TEXT(ROW() - ROW(tblSuggestions[[#Headers],[Suggestion ID]]), "0;-0")</f>
        <v>SUG-007</v>
      </c>
      <c r="B11" s="7">
        <v>46258</v>
      </c>
      <c r="C11" s="6" t="s">
        <v>83</v>
      </c>
      <c r="D11" s="6"/>
      <c r="E11" s="6" t="s">
        <v>161</v>
      </c>
      <c r="F11" s="6" t="s">
        <v>317</v>
      </c>
      <c r="G11" s="6"/>
      <c r="H11" s="6"/>
      <c r="I11" s="6"/>
      <c r="J11" s="8">
        <f t="shared" si="0"/>
        <v>0</v>
      </c>
      <c r="K11" s="6"/>
      <c r="L11" s="6"/>
      <c r="M11" s="6"/>
      <c r="N11" s="6"/>
    </row>
    <row r="12" spans="1:14" ht="47.25" hidden="1" customHeight="1">
      <c r="A12" s="6" t="str">
        <f>"SUG-00" &amp; TEXT(ROW() - ROW(tblSuggestions[[#Headers],[Suggestion ID]]), "0;-0")</f>
        <v>SUG-008</v>
      </c>
      <c r="B12" s="7">
        <v>46258</v>
      </c>
      <c r="C12" s="6" t="s">
        <v>83</v>
      </c>
      <c r="D12" s="6"/>
      <c r="E12" s="19" t="s">
        <v>318</v>
      </c>
      <c r="F12" s="6" t="s">
        <v>319</v>
      </c>
      <c r="G12" s="6"/>
      <c r="H12" s="6"/>
      <c r="I12" s="6"/>
      <c r="J12" s="8">
        <f t="shared" si="0"/>
        <v>0</v>
      </c>
      <c r="K12" s="6"/>
      <c r="L12" s="6"/>
      <c r="M12" s="6"/>
      <c r="N12" s="6"/>
    </row>
    <row r="13" spans="1:14" ht="41.25" hidden="1" customHeight="1">
      <c r="A13" s="6" t="str">
        <f>"SUG-00" &amp; TEXT(ROW() - ROW(tblSuggestions[[#Headers],[Suggestion ID]]), "0;-0")</f>
        <v>SUG-009</v>
      </c>
      <c r="B13" s="7">
        <v>46258</v>
      </c>
      <c r="C13" s="6" t="s">
        <v>83</v>
      </c>
      <c r="D13" s="6"/>
      <c r="E13" s="6" t="s">
        <v>318</v>
      </c>
      <c r="F13" s="6" t="s">
        <v>320</v>
      </c>
      <c r="G13" s="6"/>
      <c r="H13" s="6"/>
      <c r="I13" s="6"/>
      <c r="J13" s="8">
        <f t="shared" si="0"/>
        <v>0</v>
      </c>
      <c r="K13" s="6"/>
      <c r="L13" s="6"/>
      <c r="M13" s="6"/>
      <c r="N13" s="6"/>
    </row>
    <row r="14" spans="1:14" ht="60.75" customHeight="1">
      <c r="A14" s="6" t="str">
        <f>"SUG-00" &amp; TEXT(ROW() - ROW(tblSuggestions[[#Headers],[Suggestion ID]]), "0;-0")</f>
        <v>SUG-0010</v>
      </c>
      <c r="B14" s="7">
        <v>46259</v>
      </c>
      <c r="C14" s="6" t="s">
        <v>86</v>
      </c>
      <c r="D14" s="6"/>
      <c r="E14" s="6" t="s">
        <v>42</v>
      </c>
      <c r="F14" s="6" t="s">
        <v>321</v>
      </c>
      <c r="G14" s="6"/>
      <c r="H14" s="6"/>
      <c r="J14" s="8"/>
      <c r="K14" s="6"/>
      <c r="L14" s="6"/>
      <c r="M14" s="6"/>
      <c r="N14" s="6"/>
    </row>
    <row r="15" spans="1:14" ht="44.25" customHeight="1">
      <c r="A15" s="6" t="str">
        <f>"SUG-00" &amp; TEXT(ROW() - ROW(tblSuggestions[[#Headers],[Suggestion ID]]), "0;-0")</f>
        <v>SUG-0011</v>
      </c>
      <c r="B15" s="7">
        <v>46259</v>
      </c>
      <c r="C15" s="6" t="s">
        <v>86</v>
      </c>
      <c r="D15" s="6"/>
      <c r="E15" s="6" t="s">
        <v>161</v>
      </c>
      <c r="F15" s="6" t="s">
        <v>322</v>
      </c>
      <c r="G15" s="6"/>
      <c r="H15" s="6"/>
      <c r="I15" s="6"/>
      <c r="J15" s="8">
        <f t="shared" si="0"/>
        <v>0</v>
      </c>
      <c r="K15" s="6"/>
      <c r="L15" s="6"/>
      <c r="M15" s="6"/>
      <c r="N15" s="6"/>
    </row>
    <row r="16" spans="1:14" ht="42.75" customHeight="1">
      <c r="A16" s="6" t="str">
        <f>"SUG-00" &amp; TEXT(ROW() - ROW(tblSuggestions[[#Headers],[Suggestion ID]]), "0;-0")</f>
        <v>SUG-0012</v>
      </c>
      <c r="B16" s="7">
        <v>46259</v>
      </c>
      <c r="C16" s="6" t="s">
        <v>86</v>
      </c>
      <c r="D16" s="6"/>
      <c r="E16" s="6" t="s">
        <v>161</v>
      </c>
      <c r="F16" s="6" t="s">
        <v>323</v>
      </c>
      <c r="G16" s="6"/>
      <c r="H16" s="6"/>
      <c r="I16" s="6"/>
      <c r="J16" s="8">
        <f t="shared" si="0"/>
        <v>0</v>
      </c>
      <c r="K16" s="6"/>
      <c r="L16" s="6"/>
      <c r="M16" s="6"/>
      <c r="N16" s="6"/>
    </row>
    <row r="17" spans="1:14" ht="63.75" customHeight="1">
      <c r="A17" s="6" t="str">
        <f>"SUG-00" &amp; TEXT(ROW() - ROW(tblSuggestions[[#Headers],[Suggestion ID]]), "0;-0")</f>
        <v>SUG-0013</v>
      </c>
      <c r="B17" s="7">
        <v>46259</v>
      </c>
      <c r="C17" s="6" t="s">
        <v>86</v>
      </c>
      <c r="D17" s="6"/>
      <c r="E17" s="6" t="s">
        <v>161</v>
      </c>
      <c r="F17" s="6" t="s">
        <v>324</v>
      </c>
      <c r="G17" s="6"/>
      <c r="H17" s="6"/>
      <c r="I17" s="6"/>
      <c r="J17" s="8">
        <f t="shared" si="0"/>
        <v>0</v>
      </c>
      <c r="K17" s="6"/>
      <c r="L17" s="6"/>
      <c r="M17" s="6"/>
      <c r="N17" s="6"/>
    </row>
    <row r="18" spans="1:14" ht="44.25" customHeight="1">
      <c r="A18" s="6" t="str">
        <f>"SUG-00" &amp; TEXT(ROW() - ROW(tblSuggestions[[#Headers],[Suggestion ID]]), "0;-0")</f>
        <v>SUG-0014</v>
      </c>
      <c r="B18" s="7">
        <v>46259</v>
      </c>
      <c r="C18" s="6" t="s">
        <v>86</v>
      </c>
      <c r="D18" s="6"/>
      <c r="E18" s="6" t="s">
        <v>161</v>
      </c>
      <c r="F18" s="6" t="s">
        <v>325</v>
      </c>
      <c r="G18" s="6"/>
      <c r="H18" s="6"/>
      <c r="I18" s="6"/>
      <c r="J18" s="8">
        <f t="shared" si="0"/>
        <v>0</v>
      </c>
      <c r="K18" s="6"/>
      <c r="L18" s="6"/>
      <c r="M18" s="6"/>
      <c r="N18" s="6"/>
    </row>
    <row r="19" spans="1:14" ht="63.75" customHeight="1">
      <c r="A19" s="6" t="str">
        <f>"SUG-00" &amp; TEXT(ROW() - ROW(tblSuggestions[[#Headers],[Suggestion ID]]), "0;-0")</f>
        <v>SUG-0015</v>
      </c>
      <c r="B19" s="7">
        <v>46261</v>
      </c>
      <c r="C19" s="6" t="s">
        <v>86</v>
      </c>
      <c r="D19" s="6"/>
      <c r="E19" s="6" t="s">
        <v>114</v>
      </c>
      <c r="F19" s="6" t="s">
        <v>326</v>
      </c>
      <c r="G19" s="6"/>
      <c r="H19" s="6"/>
      <c r="I19" s="6"/>
      <c r="J19" s="8">
        <f t="shared" si="0"/>
        <v>0</v>
      </c>
      <c r="K19" s="6"/>
      <c r="L19" s="6"/>
      <c r="M19" s="6"/>
      <c r="N19" s="6"/>
    </row>
    <row r="20" spans="1:14" ht="63.75" customHeight="1">
      <c r="A20" s="6" t="str">
        <f>"SUG-00" &amp; TEXT(ROW() - ROW(tblSuggestions[[#Headers],[Suggestion ID]]), "0;-0")</f>
        <v>SUG-0016</v>
      </c>
      <c r="B20" s="7">
        <v>46261</v>
      </c>
      <c r="C20" s="6" t="s">
        <v>86</v>
      </c>
      <c r="D20" s="6"/>
      <c r="E20" s="6" t="s">
        <v>114</v>
      </c>
      <c r="F20" s="6" t="s">
        <v>327</v>
      </c>
      <c r="G20" s="6"/>
      <c r="H20" s="6"/>
      <c r="I20" s="6"/>
      <c r="J20" s="8">
        <f t="shared" si="0"/>
        <v>0</v>
      </c>
      <c r="K20" s="6"/>
      <c r="L20" s="6"/>
      <c r="M20" s="6"/>
      <c r="N20" s="6"/>
    </row>
    <row r="21" spans="1:14" ht="55.5" customHeight="1">
      <c r="A21" s="6" t="str">
        <f>"SUG-00" &amp; TEXT(ROW() - ROW(tblSuggestions[[#Headers],[Suggestion ID]]), "0;-0")</f>
        <v>SUG-0017</v>
      </c>
      <c r="B21" s="7">
        <v>46261</v>
      </c>
      <c r="C21" s="6" t="s">
        <v>86</v>
      </c>
      <c r="D21" s="6"/>
      <c r="E21" s="6" t="s">
        <v>114</v>
      </c>
      <c r="F21" s="6" t="s">
        <v>328</v>
      </c>
      <c r="G21" s="6"/>
      <c r="H21" s="6"/>
      <c r="I21" s="6"/>
      <c r="J21" s="8">
        <f t="shared" si="0"/>
        <v>0</v>
      </c>
      <c r="K21" s="6"/>
      <c r="L21" s="6"/>
      <c r="M21" s="6"/>
      <c r="N21" s="6"/>
    </row>
    <row r="22" spans="1:14" ht="51" customHeight="1">
      <c r="A22" s="6" t="str">
        <f>"SUG-00" &amp; TEXT(ROW() - ROW(tblSuggestions[[#Headers],[Suggestion ID]]), "0;-0")</f>
        <v>SUG-0018</v>
      </c>
      <c r="B22" s="7">
        <v>46261</v>
      </c>
      <c r="C22" s="6" t="s">
        <v>86</v>
      </c>
      <c r="D22" s="6"/>
      <c r="E22" s="6" t="s">
        <v>114</v>
      </c>
      <c r="F22" s="6" t="s">
        <v>329</v>
      </c>
      <c r="G22" s="6"/>
      <c r="H22" s="6"/>
      <c r="I22" s="6"/>
      <c r="J22" s="8">
        <f t="shared" si="0"/>
        <v>0</v>
      </c>
      <c r="K22" s="6"/>
      <c r="L22" s="6"/>
      <c r="M22" s="6"/>
      <c r="N22" s="6"/>
    </row>
    <row r="23" spans="1:14" ht="63.75" customHeight="1">
      <c r="A23" s="6" t="str">
        <f>"SUG-00" &amp; TEXT(ROW() - ROW(tblSuggestions[[#Headers],[Suggestion ID]]), "0;-0")</f>
        <v>SUG-0019</v>
      </c>
      <c r="B23" s="7">
        <v>46261</v>
      </c>
      <c r="C23" s="6" t="s">
        <v>86</v>
      </c>
      <c r="D23" s="6"/>
      <c r="E23" s="6" t="s">
        <v>114</v>
      </c>
      <c r="F23" s="6" t="s">
        <v>330</v>
      </c>
      <c r="G23" s="6"/>
      <c r="H23" s="6"/>
      <c r="I23" s="6"/>
      <c r="J23" s="8">
        <f t="shared" si="0"/>
        <v>0</v>
      </c>
      <c r="K23" s="6"/>
      <c r="L23" s="6"/>
      <c r="M23" s="6"/>
      <c r="N23" s="6"/>
    </row>
    <row r="24" spans="1:14" ht="51" customHeight="1">
      <c r="A24" s="6" t="str">
        <f>"SUG-00" &amp; TEXT(ROW() - ROW(tblSuggestions[[#Headers],[Suggestion ID]]), "0;-0")</f>
        <v>SUG-0020</v>
      </c>
      <c r="B24" s="7">
        <v>46261</v>
      </c>
      <c r="C24" s="6" t="s">
        <v>86</v>
      </c>
      <c r="D24" s="6"/>
      <c r="E24" s="6" t="s">
        <v>133</v>
      </c>
      <c r="F24" s="6" t="s">
        <v>331</v>
      </c>
      <c r="G24" s="6"/>
      <c r="H24" s="6"/>
      <c r="I24" s="6"/>
      <c r="J24" s="8">
        <f t="shared" si="0"/>
        <v>0</v>
      </c>
      <c r="K24" s="6"/>
      <c r="L24" s="6"/>
      <c r="M24" s="6"/>
      <c r="N24" s="6"/>
    </row>
    <row r="25" spans="1:14" ht="47.25" customHeight="1">
      <c r="A25" s="6" t="str">
        <f>"SUG-00" &amp; TEXT(ROW() - ROW(tblSuggestions[[#Headers],[Suggestion ID]]), "0;-0")</f>
        <v>SUG-0021</v>
      </c>
      <c r="B25" s="7">
        <v>46261</v>
      </c>
      <c r="C25" s="6" t="s">
        <v>86</v>
      </c>
      <c r="D25" s="6"/>
      <c r="E25" s="6" t="s">
        <v>114</v>
      </c>
      <c r="F25" s="6" t="s">
        <v>332</v>
      </c>
      <c r="G25" s="6"/>
      <c r="H25" s="6"/>
      <c r="I25" s="6"/>
      <c r="J25" s="8">
        <f t="shared" si="0"/>
        <v>0</v>
      </c>
      <c r="K25" s="6"/>
      <c r="L25" s="6"/>
      <c r="M25" s="6"/>
      <c r="N25" s="6"/>
    </row>
    <row r="26" spans="1:14" ht="45.75" customHeight="1">
      <c r="A26" s="6" t="str">
        <f>"SUG-00" &amp; TEXT(ROW() - ROW(tblSuggestions[[#Headers],[Suggestion ID]]), "0;-0")</f>
        <v>SUG-0022</v>
      </c>
      <c r="B26" s="7">
        <v>46261</v>
      </c>
      <c r="C26" s="6" t="s">
        <v>86</v>
      </c>
      <c r="D26" s="6"/>
      <c r="E26" s="6" t="s">
        <v>114</v>
      </c>
      <c r="F26" s="6" t="s">
        <v>333</v>
      </c>
      <c r="G26" s="6"/>
      <c r="H26" s="6"/>
      <c r="I26" s="6"/>
      <c r="J26" s="8">
        <f t="shared" si="0"/>
        <v>0</v>
      </c>
      <c r="K26" s="6"/>
      <c r="L26" s="6"/>
      <c r="M26" s="6"/>
      <c r="N26" s="6"/>
    </row>
    <row r="27" spans="1:14" ht="61.5" customHeight="1">
      <c r="A27" s="6" t="str">
        <f>"SUG-00" &amp; TEXT(ROW() - ROW(tblSuggestions[[#Headers],[Suggestion ID]]), "0;-0")</f>
        <v>SUG-0023</v>
      </c>
      <c r="B27" s="7">
        <v>46265</v>
      </c>
      <c r="C27" s="6" t="s">
        <v>86</v>
      </c>
      <c r="D27" s="6"/>
      <c r="E27" s="6" t="s">
        <v>114</v>
      </c>
      <c r="F27" s="6" t="s">
        <v>334</v>
      </c>
      <c r="G27" s="6"/>
      <c r="H27" s="6"/>
      <c r="I27" s="6"/>
      <c r="J27" s="8">
        <f t="shared" si="0"/>
        <v>0</v>
      </c>
      <c r="K27" s="6"/>
      <c r="L27" s="6"/>
      <c r="M27" s="6"/>
      <c r="N27" s="6"/>
    </row>
    <row r="28" spans="1:14" ht="66" customHeight="1">
      <c r="A28" s="6" t="str">
        <f>"SUG-00" &amp; TEXT(ROW() - ROW(tblSuggestions[[#Headers],[Suggestion ID]]), "0;-0")</f>
        <v>SUG-0024</v>
      </c>
      <c r="B28" s="7">
        <v>46265</v>
      </c>
      <c r="C28" s="6" t="s">
        <v>86</v>
      </c>
      <c r="D28" s="6"/>
      <c r="E28" s="6" t="s">
        <v>114</v>
      </c>
      <c r="F28" s="6" t="s">
        <v>335</v>
      </c>
      <c r="G28" s="6"/>
      <c r="H28" s="6"/>
      <c r="I28" s="6"/>
      <c r="J28" s="8">
        <f t="shared" si="0"/>
        <v>0</v>
      </c>
      <c r="K28" s="6"/>
      <c r="L28" s="6"/>
      <c r="M28" s="6"/>
      <c r="N28" s="6"/>
    </row>
    <row r="29" spans="1:14" ht="252" customHeight="1">
      <c r="A29" s="6" t="str">
        <f>"SUG-00" &amp; TEXT(ROW() - ROW(tblSuggestions[[#Headers],[Suggestion ID]]), "0;-0")</f>
        <v>SUG-0025</v>
      </c>
      <c r="B29" s="7">
        <v>46261</v>
      </c>
      <c r="C29" s="6" t="s">
        <v>86</v>
      </c>
      <c r="D29" s="6"/>
      <c r="E29" s="6" t="s">
        <v>236</v>
      </c>
      <c r="F29" s="6" t="s">
        <v>336</v>
      </c>
      <c r="G29" s="6"/>
      <c r="H29" s="6"/>
      <c r="I29" s="6"/>
      <c r="J29" s="8"/>
      <c r="K29" s="6"/>
      <c r="L29" s="6"/>
      <c r="M29" s="6"/>
      <c r="N29" s="6" t="s">
        <v>337</v>
      </c>
    </row>
    <row r="30" spans="1:14" ht="54.75" customHeight="1">
      <c r="A30" s="6" t="str">
        <f>"SUG-00" &amp; TEXT(ROW() - ROW(tblSuggestions[[#Headers],[Suggestion ID]]), "0;-0")</f>
        <v>SUG-0026</v>
      </c>
      <c r="B30" s="7">
        <v>46261</v>
      </c>
      <c r="C30" s="6" t="s">
        <v>86</v>
      </c>
      <c r="D30" s="6"/>
      <c r="E30" s="6" t="s">
        <v>241</v>
      </c>
      <c r="F30" s="6" t="s">
        <v>338</v>
      </c>
      <c r="G30" s="6"/>
      <c r="H30" s="6"/>
      <c r="I30" s="6"/>
      <c r="J30" s="8">
        <f t="shared" si="0"/>
        <v>0</v>
      </c>
      <c r="K30" s="6"/>
      <c r="L30" s="6"/>
      <c r="M30" s="6"/>
      <c r="N30" s="6"/>
    </row>
    <row r="31" spans="1:14" ht="52.5" customHeight="1">
      <c r="A31" s="6" t="str">
        <f>"SUG-00" &amp; TEXT(ROW() - ROW(tblSuggestions[[#Headers],[Suggestion ID]]), "0;-0")</f>
        <v>SUG-0027</v>
      </c>
      <c r="B31" s="7">
        <v>46261</v>
      </c>
      <c r="C31" s="6" t="s">
        <v>86</v>
      </c>
      <c r="D31" s="6"/>
      <c r="E31" s="6" t="s">
        <v>241</v>
      </c>
      <c r="F31" s="6" t="s">
        <v>339</v>
      </c>
      <c r="G31" s="6"/>
      <c r="H31" s="6"/>
      <c r="I31" s="6"/>
      <c r="J31" s="8">
        <f t="shared" si="0"/>
        <v>0</v>
      </c>
      <c r="K31" s="6"/>
      <c r="L31" s="6"/>
      <c r="M31" s="6"/>
      <c r="N31" s="6"/>
    </row>
    <row r="32" spans="1:14" ht="82.5" customHeight="1">
      <c r="A32" s="6" t="str">
        <f>"SUG-00" &amp; TEXT(ROW() - ROW(tblSuggestions[[#Headers],[Suggestion ID]]), "0;-0")</f>
        <v>SUG-0028</v>
      </c>
      <c r="B32" s="7">
        <v>46261</v>
      </c>
      <c r="C32" s="6" t="s">
        <v>86</v>
      </c>
      <c r="D32" s="6"/>
      <c r="E32" s="6" t="s">
        <v>241</v>
      </c>
      <c r="F32" s="6" t="s">
        <v>340</v>
      </c>
      <c r="G32" s="6"/>
      <c r="H32" s="6"/>
      <c r="I32" s="6"/>
      <c r="J32" s="8">
        <f t="shared" si="0"/>
        <v>0</v>
      </c>
      <c r="K32" s="6"/>
      <c r="L32" s="6"/>
      <c r="M32" s="6"/>
      <c r="N32" s="6"/>
    </row>
    <row r="33" spans="1:14" ht="73.5" customHeight="1">
      <c r="A33" s="6" t="str">
        <f>"SUG-00" &amp; TEXT(ROW() - ROW(tblSuggestions[[#Headers],[Suggestion ID]]), "0;-0")</f>
        <v>SUG-0029</v>
      </c>
      <c r="B33" s="7">
        <v>46268</v>
      </c>
      <c r="C33" s="6" t="s">
        <v>86</v>
      </c>
      <c r="D33" s="6"/>
      <c r="E33" s="6" t="s">
        <v>114</v>
      </c>
      <c r="F33" s="6" t="s">
        <v>341</v>
      </c>
      <c r="G33" s="6"/>
      <c r="H33" s="6"/>
      <c r="I33" s="6"/>
      <c r="J33" s="8">
        <f t="shared" si="0"/>
        <v>0</v>
      </c>
      <c r="K33" s="6"/>
      <c r="L33" s="6"/>
      <c r="M33" s="6"/>
      <c r="N33" s="6"/>
    </row>
    <row r="34" spans="1:14" ht="21.95" hidden="1" customHeight="1">
      <c r="A34" s="6" t="str">
        <f>"SUG-00" &amp; TEXT(ROW() - ROW(tblSuggestions[[#Headers],[Suggestion ID]]), "0;-0")</f>
        <v>SUG-0030</v>
      </c>
      <c r="B34" s="7"/>
      <c r="C34" s="6"/>
      <c r="D34" s="6"/>
      <c r="E34" s="6"/>
      <c r="F34" s="6"/>
      <c r="G34" s="6"/>
      <c r="H34" s="6"/>
      <c r="I34" s="6"/>
      <c r="J34" s="8" t="str">
        <f t="shared" si="0"/>
        <v/>
      </c>
      <c r="K34" s="6"/>
      <c r="L34" s="6"/>
      <c r="M34" s="6"/>
      <c r="N34" s="6"/>
    </row>
    <row r="35" spans="1:14" ht="21.95" hidden="1" customHeight="1">
      <c r="A35" s="6" t="str">
        <f>"SUG-00" &amp; TEXT(ROW() - ROW(tblSuggestions[[#Headers],[Suggestion ID]]), "0;-0")</f>
        <v>SUG-0031</v>
      </c>
      <c r="B35" s="7"/>
      <c r="C35" s="6"/>
      <c r="D35" s="6"/>
      <c r="E35" s="6"/>
      <c r="F35" s="6"/>
      <c r="G35" s="6"/>
      <c r="H35" s="6"/>
      <c r="I35" s="6"/>
      <c r="J35" s="8" t="str">
        <f t="shared" si="0"/>
        <v/>
      </c>
      <c r="K35" s="6"/>
      <c r="L35" s="6"/>
      <c r="M35" s="6"/>
      <c r="N35" s="6"/>
    </row>
    <row r="36" spans="1:14" ht="21.95" hidden="1" customHeight="1">
      <c r="A36" s="6" t="str">
        <f>"SUG-00" &amp; TEXT(ROW() - ROW(tblSuggestions[[#Headers],[Suggestion ID]]), "0;-0")</f>
        <v>SUG-0032</v>
      </c>
      <c r="B36" s="7"/>
      <c r="C36" s="6"/>
      <c r="D36" s="6"/>
      <c r="E36" s="6"/>
      <c r="F36" s="6"/>
      <c r="G36" s="6"/>
      <c r="H36" s="6"/>
      <c r="I36" s="6"/>
      <c r="J36" s="8" t="str">
        <f t="shared" si="0"/>
        <v/>
      </c>
      <c r="K36" s="6"/>
      <c r="L36" s="6"/>
      <c r="M36" s="6"/>
      <c r="N36" s="6"/>
    </row>
    <row r="37" spans="1:14" ht="21.95" hidden="1" customHeight="1">
      <c r="A37" s="6" t="str">
        <f>"SUG-00" &amp; TEXT(ROW() - ROW(tblSuggestions[[#Headers],[Suggestion ID]]), "0;-0")</f>
        <v>SUG-0033</v>
      </c>
      <c r="B37" s="7"/>
      <c r="C37" s="6"/>
      <c r="D37" s="6"/>
      <c r="E37" s="6"/>
      <c r="F37" s="6"/>
      <c r="G37" s="6"/>
      <c r="H37" s="6"/>
      <c r="I37" s="6"/>
      <c r="J37" s="8" t="str">
        <f t="shared" ref="J37:J68" si="1">IF($F37="","",IF($H37="High",3,IF($H37="Medium",2,IF($H37="Low",1,0)))+IF($I37="Low",3,IF($I37="Medium",2,IF($I37="High",1,0))))</f>
        <v/>
      </c>
      <c r="K37" s="6"/>
      <c r="L37" s="6"/>
      <c r="M37" s="6"/>
      <c r="N37" s="6"/>
    </row>
    <row r="38" spans="1:14" ht="21.95" hidden="1" customHeight="1">
      <c r="A38" s="6" t="str">
        <f>"SUG-00" &amp; TEXT(ROW() - ROW(tblSuggestions[[#Headers],[Suggestion ID]]), "0;-0")</f>
        <v>SUG-0034</v>
      </c>
      <c r="B38" s="7"/>
      <c r="C38" s="6"/>
      <c r="D38" s="6"/>
      <c r="E38" s="6"/>
      <c r="F38" s="6"/>
      <c r="G38" s="6"/>
      <c r="H38" s="6"/>
      <c r="I38" s="6"/>
      <c r="J38" s="8" t="str">
        <f t="shared" si="1"/>
        <v/>
      </c>
      <c r="K38" s="6"/>
      <c r="L38" s="6"/>
      <c r="M38" s="6"/>
      <c r="N38" s="6"/>
    </row>
    <row r="39" spans="1:14" ht="21.95" hidden="1" customHeight="1">
      <c r="A39" s="6" t="str">
        <f>"SUG-00" &amp; TEXT(ROW() - ROW(tblSuggestions[[#Headers],[Suggestion ID]]), "0;-0")</f>
        <v>SUG-0035</v>
      </c>
      <c r="B39" s="7"/>
      <c r="C39" s="6"/>
      <c r="D39" s="6"/>
      <c r="E39" s="6"/>
      <c r="F39" s="6"/>
      <c r="G39" s="6"/>
      <c r="H39" s="6"/>
      <c r="I39" s="6"/>
      <c r="J39" s="8" t="str">
        <f t="shared" si="1"/>
        <v/>
      </c>
      <c r="K39" s="6"/>
      <c r="L39" s="6"/>
      <c r="M39" s="6"/>
      <c r="N39" s="6"/>
    </row>
    <row r="40" spans="1:14" ht="21.95" hidden="1" customHeight="1">
      <c r="A40" s="6" t="str">
        <f>"SUG-00" &amp; TEXT(ROW() - ROW(tblSuggestions[[#Headers],[Suggestion ID]]), "0;-0")</f>
        <v>SUG-0036</v>
      </c>
      <c r="B40" s="7"/>
      <c r="C40" s="6"/>
      <c r="D40" s="6"/>
      <c r="E40" s="6"/>
      <c r="F40" s="6"/>
      <c r="G40" s="6"/>
      <c r="H40" s="6"/>
      <c r="I40" s="6"/>
      <c r="J40" s="8" t="str">
        <f t="shared" si="1"/>
        <v/>
      </c>
      <c r="K40" s="6"/>
      <c r="L40" s="6"/>
      <c r="M40" s="6"/>
      <c r="N40" s="6"/>
    </row>
    <row r="41" spans="1:14" ht="21.95" hidden="1" customHeight="1">
      <c r="A41" s="6" t="str">
        <f>"SUG-00" &amp; TEXT(ROW() - ROW(tblSuggestions[[#Headers],[Suggestion ID]]), "0;-0")</f>
        <v>SUG-0037</v>
      </c>
      <c r="B41" s="7"/>
      <c r="C41" s="6"/>
      <c r="D41" s="6"/>
      <c r="E41" s="6"/>
      <c r="F41" s="6"/>
      <c r="G41" s="6"/>
      <c r="H41" s="6"/>
      <c r="I41" s="6"/>
      <c r="J41" s="8" t="str">
        <f t="shared" si="1"/>
        <v/>
      </c>
      <c r="K41" s="6"/>
      <c r="L41" s="6"/>
      <c r="M41" s="6"/>
      <c r="N41" s="6"/>
    </row>
    <row r="42" spans="1:14" ht="21.95" hidden="1" customHeight="1">
      <c r="A42" s="6" t="str">
        <f>"SUG-00" &amp; TEXT(ROW() - ROW(tblSuggestions[[#Headers],[Suggestion ID]]), "0;-0")</f>
        <v>SUG-0038</v>
      </c>
      <c r="B42" s="7"/>
      <c r="C42" s="6"/>
      <c r="D42" s="6"/>
      <c r="E42" s="6"/>
      <c r="F42" s="6"/>
      <c r="G42" s="6"/>
      <c r="H42" s="6"/>
      <c r="I42" s="6"/>
      <c r="J42" s="8" t="str">
        <f t="shared" si="1"/>
        <v/>
      </c>
      <c r="K42" s="6"/>
      <c r="L42" s="6"/>
      <c r="M42" s="6"/>
      <c r="N42" s="6"/>
    </row>
    <row r="43" spans="1:14" ht="21.95" hidden="1" customHeight="1">
      <c r="A43" s="6" t="str">
        <f>"SUG-00" &amp; TEXT(ROW() - ROW(tblSuggestions[[#Headers],[Suggestion ID]]), "0;-0")</f>
        <v>SUG-0039</v>
      </c>
      <c r="B43" s="7"/>
      <c r="C43" s="6"/>
      <c r="D43" s="6"/>
      <c r="E43" s="6"/>
      <c r="F43" s="6"/>
      <c r="G43" s="6"/>
      <c r="H43" s="6"/>
      <c r="I43" s="6"/>
      <c r="J43" s="8" t="str">
        <f t="shared" si="1"/>
        <v/>
      </c>
      <c r="K43" s="6"/>
      <c r="L43" s="6"/>
      <c r="M43" s="6"/>
      <c r="N43" s="6"/>
    </row>
    <row r="44" spans="1:14" ht="21.95" hidden="1" customHeight="1">
      <c r="A44" s="6" t="str">
        <f>"SUG-00" &amp; TEXT(ROW() - ROW(tblSuggestions[[#Headers],[Suggestion ID]]), "0;-0")</f>
        <v>SUG-0040</v>
      </c>
      <c r="B44" s="7"/>
      <c r="C44" s="6"/>
      <c r="D44" s="6"/>
      <c r="E44" s="6"/>
      <c r="F44" s="6"/>
      <c r="G44" s="6"/>
      <c r="H44" s="6"/>
      <c r="I44" s="6"/>
      <c r="J44" s="8" t="str">
        <f t="shared" si="1"/>
        <v/>
      </c>
      <c r="K44" s="6"/>
      <c r="L44" s="6"/>
      <c r="M44" s="6"/>
      <c r="N44" s="6"/>
    </row>
    <row r="45" spans="1:14" ht="21.95" hidden="1" customHeight="1">
      <c r="A45" s="6" t="str">
        <f>"SUG-00" &amp; TEXT(ROW() - ROW(tblSuggestions[[#Headers],[Suggestion ID]]), "0;-0")</f>
        <v>SUG-0041</v>
      </c>
      <c r="B45" s="7"/>
      <c r="C45" s="6"/>
      <c r="D45" s="6"/>
      <c r="E45" s="6"/>
      <c r="F45" s="6"/>
      <c r="G45" s="6"/>
      <c r="H45" s="6"/>
      <c r="I45" s="6"/>
      <c r="J45" s="8" t="str">
        <f t="shared" si="1"/>
        <v/>
      </c>
      <c r="K45" s="6"/>
      <c r="L45" s="6"/>
      <c r="M45" s="6"/>
      <c r="N45" s="6"/>
    </row>
    <row r="46" spans="1:14" ht="21.95" hidden="1" customHeight="1">
      <c r="A46" s="6" t="str">
        <f>"SUG-00" &amp; TEXT(ROW() - ROW(tblSuggestions[[#Headers],[Suggestion ID]]), "0;-0")</f>
        <v>SUG-0042</v>
      </c>
      <c r="B46" s="7"/>
      <c r="C46" s="6"/>
      <c r="D46" s="6"/>
      <c r="E46" s="6"/>
      <c r="F46" s="6"/>
      <c r="G46" s="6"/>
      <c r="H46" s="6"/>
      <c r="I46" s="6"/>
      <c r="J46" s="8" t="str">
        <f t="shared" si="1"/>
        <v/>
      </c>
      <c r="K46" s="6"/>
      <c r="L46" s="6"/>
      <c r="M46" s="6"/>
      <c r="N46" s="6"/>
    </row>
    <row r="47" spans="1:14" ht="21.95" hidden="1" customHeight="1">
      <c r="A47" s="6" t="str">
        <f>"SUG-00" &amp; TEXT(ROW() - ROW(tblSuggestions[[#Headers],[Suggestion ID]]), "0;-0")</f>
        <v>SUG-0043</v>
      </c>
      <c r="B47" s="7"/>
      <c r="C47" s="6"/>
      <c r="D47" s="6"/>
      <c r="E47" s="6"/>
      <c r="F47" s="6"/>
      <c r="G47" s="6"/>
      <c r="H47" s="6"/>
      <c r="I47" s="6"/>
      <c r="J47" s="8" t="str">
        <f t="shared" si="1"/>
        <v/>
      </c>
      <c r="K47" s="6"/>
      <c r="L47" s="6"/>
      <c r="M47" s="6"/>
      <c r="N47" s="6"/>
    </row>
    <row r="48" spans="1:14" ht="21.95" hidden="1" customHeight="1">
      <c r="A48" s="6" t="str">
        <f>"SUG-00" &amp; TEXT(ROW() - ROW(tblSuggestions[[#Headers],[Suggestion ID]]), "0;-0")</f>
        <v>SUG-0044</v>
      </c>
      <c r="B48" s="7"/>
      <c r="C48" s="6"/>
      <c r="D48" s="6"/>
      <c r="E48" s="6"/>
      <c r="F48" s="6"/>
      <c r="G48" s="6"/>
      <c r="H48" s="6"/>
      <c r="I48" s="6"/>
      <c r="J48" s="8" t="str">
        <f t="shared" si="1"/>
        <v/>
      </c>
      <c r="K48" s="6"/>
      <c r="L48" s="6"/>
      <c r="M48" s="6"/>
      <c r="N48" s="6"/>
    </row>
    <row r="49" spans="1:14" ht="21.95" hidden="1" customHeight="1">
      <c r="A49" s="6" t="str">
        <f>"SUG-00" &amp; TEXT(ROW() - ROW(tblSuggestions[[#Headers],[Suggestion ID]]), "0;-0")</f>
        <v>SUG-0045</v>
      </c>
      <c r="B49" s="7"/>
      <c r="C49" s="6"/>
      <c r="D49" s="6"/>
      <c r="E49" s="6"/>
      <c r="F49" s="6"/>
      <c r="G49" s="6"/>
      <c r="H49" s="6"/>
      <c r="I49" s="6"/>
      <c r="J49" s="8" t="str">
        <f t="shared" si="1"/>
        <v/>
      </c>
      <c r="K49" s="6"/>
      <c r="L49" s="6"/>
      <c r="M49" s="6"/>
      <c r="N49" s="6"/>
    </row>
    <row r="50" spans="1:14" ht="21.95" hidden="1" customHeight="1">
      <c r="A50" s="6" t="str">
        <f>"SUG-00" &amp; TEXT(ROW() - ROW(tblSuggestions[[#Headers],[Suggestion ID]]), "0;-0")</f>
        <v>SUG-0046</v>
      </c>
      <c r="B50" s="7"/>
      <c r="C50" s="6"/>
      <c r="D50" s="6"/>
      <c r="E50" s="6"/>
      <c r="F50" s="6"/>
      <c r="G50" s="6"/>
      <c r="H50" s="6"/>
      <c r="I50" s="6"/>
      <c r="J50" s="8" t="str">
        <f t="shared" si="1"/>
        <v/>
      </c>
      <c r="K50" s="6"/>
      <c r="L50" s="6"/>
      <c r="M50" s="6"/>
      <c r="N50" s="6"/>
    </row>
    <row r="51" spans="1:14" ht="21.95" hidden="1" customHeight="1">
      <c r="A51" s="6" t="str">
        <f>"SUG-00" &amp; TEXT(ROW() - ROW(tblSuggestions[[#Headers],[Suggestion ID]]), "0;-0")</f>
        <v>SUG-0047</v>
      </c>
      <c r="B51" s="7"/>
      <c r="C51" s="6"/>
      <c r="D51" s="6"/>
      <c r="E51" s="6"/>
      <c r="F51" s="6"/>
      <c r="G51" s="6"/>
      <c r="H51" s="6"/>
      <c r="I51" s="6"/>
      <c r="J51" s="8" t="str">
        <f t="shared" si="1"/>
        <v/>
      </c>
      <c r="K51" s="6"/>
      <c r="L51" s="6"/>
      <c r="M51" s="6"/>
      <c r="N51" s="6"/>
    </row>
    <row r="52" spans="1:14" ht="21.95" hidden="1" customHeight="1">
      <c r="A52" s="6" t="str">
        <f>"SUG-00" &amp; TEXT(ROW() - ROW(tblSuggestions[[#Headers],[Suggestion ID]]), "0;-0")</f>
        <v>SUG-0048</v>
      </c>
      <c r="B52" s="7"/>
      <c r="C52" s="6"/>
      <c r="D52" s="6"/>
      <c r="E52" s="6"/>
      <c r="F52" s="6"/>
      <c r="G52" s="6"/>
      <c r="H52" s="6"/>
      <c r="I52" s="6"/>
      <c r="J52" s="8" t="str">
        <f t="shared" si="1"/>
        <v/>
      </c>
      <c r="K52" s="6"/>
      <c r="L52" s="6"/>
      <c r="M52" s="6"/>
      <c r="N52" s="6"/>
    </row>
    <row r="53" spans="1:14" ht="21.95" hidden="1" customHeight="1">
      <c r="A53" s="6" t="str">
        <f>"SUG-00" &amp; TEXT(ROW() - ROW(tblSuggestions[[#Headers],[Suggestion ID]]), "0;-0")</f>
        <v>SUG-0049</v>
      </c>
      <c r="B53" s="7"/>
      <c r="C53" s="6"/>
      <c r="D53" s="6"/>
      <c r="E53" s="6"/>
      <c r="F53" s="6"/>
      <c r="G53" s="6"/>
      <c r="H53" s="6"/>
      <c r="I53" s="6"/>
      <c r="J53" s="8" t="str">
        <f t="shared" si="1"/>
        <v/>
      </c>
      <c r="K53" s="6"/>
      <c r="L53" s="6"/>
      <c r="M53" s="6"/>
      <c r="N53" s="6"/>
    </row>
    <row r="54" spans="1:14" ht="21.95" hidden="1" customHeight="1">
      <c r="A54" s="6" t="str">
        <f>"SUG-00" &amp; TEXT(ROW() - ROW(tblSuggestions[[#Headers],[Suggestion ID]]), "0;-0")</f>
        <v>SUG-0050</v>
      </c>
      <c r="B54" s="7"/>
      <c r="C54" s="6"/>
      <c r="D54" s="6"/>
      <c r="E54" s="6"/>
      <c r="F54" s="6"/>
      <c r="G54" s="6"/>
      <c r="H54" s="6"/>
      <c r="I54" s="6"/>
      <c r="J54" s="8" t="str">
        <f t="shared" si="1"/>
        <v/>
      </c>
      <c r="K54" s="6"/>
      <c r="L54" s="6"/>
      <c r="M54" s="6"/>
      <c r="N54" s="6"/>
    </row>
    <row r="55" spans="1:14" ht="21.95" hidden="1" customHeight="1">
      <c r="A55" s="6" t="str">
        <f>"SUG-00" &amp; TEXT(ROW() - ROW(tblSuggestions[[#Headers],[Suggestion ID]]), "0;-0")</f>
        <v>SUG-0051</v>
      </c>
      <c r="B55" s="7"/>
      <c r="C55" s="6"/>
      <c r="D55" s="6"/>
      <c r="E55" s="6"/>
      <c r="F55" s="6"/>
      <c r="G55" s="6"/>
      <c r="H55" s="6"/>
      <c r="I55" s="6"/>
      <c r="J55" s="8" t="str">
        <f t="shared" si="1"/>
        <v/>
      </c>
      <c r="K55" s="6"/>
      <c r="L55" s="6"/>
      <c r="M55" s="6"/>
      <c r="N55" s="6"/>
    </row>
    <row r="56" spans="1:14" ht="21.95" hidden="1" customHeight="1">
      <c r="A56" s="6" t="str">
        <f>"SUG-00" &amp; TEXT(ROW() - ROW(tblSuggestions[[#Headers],[Suggestion ID]]), "0;-0")</f>
        <v>SUG-0052</v>
      </c>
      <c r="B56" s="7"/>
      <c r="C56" s="6"/>
      <c r="D56" s="6"/>
      <c r="E56" s="6"/>
      <c r="F56" s="6"/>
      <c r="G56" s="6"/>
      <c r="H56" s="6"/>
      <c r="I56" s="6"/>
      <c r="J56" s="8" t="str">
        <f t="shared" si="1"/>
        <v/>
      </c>
      <c r="K56" s="6"/>
      <c r="L56" s="6"/>
      <c r="M56" s="6"/>
      <c r="N56" s="6"/>
    </row>
    <row r="57" spans="1:14" ht="21.95" hidden="1" customHeight="1">
      <c r="A57" s="6" t="str">
        <f>"SUG-00" &amp; TEXT(ROW() - ROW(tblSuggestions[[#Headers],[Suggestion ID]]), "0;-0")</f>
        <v>SUG-0053</v>
      </c>
      <c r="B57" s="7"/>
      <c r="C57" s="6"/>
      <c r="D57" s="6"/>
      <c r="E57" s="6"/>
      <c r="F57" s="6"/>
      <c r="G57" s="6"/>
      <c r="H57" s="6"/>
      <c r="I57" s="6"/>
      <c r="J57" s="8" t="str">
        <f t="shared" si="1"/>
        <v/>
      </c>
      <c r="K57" s="6"/>
      <c r="L57" s="6"/>
      <c r="M57" s="6"/>
      <c r="N57" s="6"/>
    </row>
    <row r="58" spans="1:14" ht="21.95" hidden="1" customHeight="1">
      <c r="A58" s="6" t="str">
        <f>"SUG-00" &amp; TEXT(ROW() - ROW(tblSuggestions[[#Headers],[Suggestion ID]]), "0;-0")</f>
        <v>SUG-0054</v>
      </c>
      <c r="B58" s="7"/>
      <c r="C58" s="6"/>
      <c r="D58" s="6"/>
      <c r="E58" s="6"/>
      <c r="F58" s="6"/>
      <c r="G58" s="6"/>
      <c r="H58" s="6"/>
      <c r="I58" s="6"/>
      <c r="J58" s="8" t="str">
        <f t="shared" si="1"/>
        <v/>
      </c>
      <c r="K58" s="6"/>
      <c r="L58" s="6"/>
      <c r="M58" s="6"/>
      <c r="N58" s="6"/>
    </row>
    <row r="59" spans="1:14" ht="21.95" hidden="1" customHeight="1">
      <c r="A59" s="6" t="str">
        <f>"SUG-00" &amp; TEXT(ROW() - ROW(tblSuggestions[[#Headers],[Suggestion ID]]), "0;-0")</f>
        <v>SUG-0055</v>
      </c>
      <c r="B59" s="7"/>
      <c r="C59" s="6"/>
      <c r="D59" s="6"/>
      <c r="E59" s="6"/>
      <c r="F59" s="6"/>
      <c r="G59" s="6"/>
      <c r="H59" s="6"/>
      <c r="I59" s="6"/>
      <c r="J59" s="8" t="str">
        <f t="shared" si="1"/>
        <v/>
      </c>
      <c r="K59" s="6"/>
      <c r="L59" s="6"/>
      <c r="M59" s="6"/>
      <c r="N59" s="6"/>
    </row>
    <row r="60" spans="1:14" ht="21.95" hidden="1" customHeight="1">
      <c r="A60" s="6" t="str">
        <f>"SUG-00" &amp; TEXT(ROW() - ROW(tblSuggestions[[#Headers],[Suggestion ID]]), "0;-0")</f>
        <v>SUG-0056</v>
      </c>
      <c r="B60" s="7"/>
      <c r="C60" s="6"/>
      <c r="D60" s="6"/>
      <c r="E60" s="6"/>
      <c r="F60" s="6"/>
      <c r="G60" s="6"/>
      <c r="H60" s="6"/>
      <c r="I60" s="6"/>
      <c r="J60" s="8" t="str">
        <f t="shared" si="1"/>
        <v/>
      </c>
      <c r="K60" s="6"/>
      <c r="L60" s="6"/>
      <c r="M60" s="6"/>
      <c r="N60" s="6"/>
    </row>
    <row r="61" spans="1:14" hidden="1">
      <c r="A61" s="6" t="str">
        <f>"SUG-00" &amp; TEXT(ROW() - ROW(tblSuggestions[[#Headers],[Suggestion ID]]), "0;-0")</f>
        <v>SUG-0057</v>
      </c>
      <c r="B61" s="7"/>
      <c r="C61" s="6"/>
      <c r="D61" s="6"/>
      <c r="E61" s="6"/>
      <c r="F61" s="6"/>
      <c r="G61" s="6"/>
      <c r="H61" s="6"/>
      <c r="I61" s="6"/>
      <c r="J61" s="8" t="str">
        <f t="shared" si="1"/>
        <v/>
      </c>
      <c r="K61" s="6"/>
      <c r="L61" s="6"/>
      <c r="M61" s="6"/>
      <c r="N61" s="6"/>
    </row>
    <row r="62" spans="1:14" hidden="1">
      <c r="A62" s="6" t="str">
        <f>"SUG-00" &amp; TEXT(ROW() - ROW(tblSuggestions[[#Headers],[Suggestion ID]]), "0;-0")</f>
        <v>SUG-0058</v>
      </c>
      <c r="B62" s="7"/>
      <c r="C62" s="6"/>
      <c r="D62" s="6"/>
      <c r="E62" s="6"/>
      <c r="F62" s="6"/>
      <c r="G62" s="6"/>
      <c r="H62" s="6"/>
      <c r="I62" s="6"/>
      <c r="J62" s="8" t="str">
        <f t="shared" si="1"/>
        <v/>
      </c>
      <c r="K62" s="6"/>
      <c r="L62" s="6"/>
      <c r="M62" s="6"/>
      <c r="N62" s="6"/>
    </row>
    <row r="63" spans="1:14" hidden="1">
      <c r="A63" s="6" t="str">
        <f>"SUG-00" &amp; TEXT(ROW() - ROW(tblSuggestions[[#Headers],[Suggestion ID]]), "0;-0")</f>
        <v>SUG-0059</v>
      </c>
      <c r="B63" s="7"/>
      <c r="C63" s="6"/>
      <c r="D63" s="6"/>
      <c r="E63" s="6"/>
      <c r="F63" s="6"/>
      <c r="G63" s="6"/>
      <c r="H63" s="6"/>
      <c r="I63" s="6"/>
      <c r="J63" s="8" t="str">
        <f t="shared" si="1"/>
        <v/>
      </c>
      <c r="K63" s="6"/>
      <c r="L63" s="6"/>
      <c r="M63" s="6"/>
      <c r="N63" s="6"/>
    </row>
    <row r="64" spans="1:14" hidden="1">
      <c r="A64" s="6" t="str">
        <f>"SUG-00" &amp; TEXT(ROW() - ROW(tblSuggestions[[#Headers],[Suggestion ID]]), "0;-0")</f>
        <v>SUG-0060</v>
      </c>
      <c r="B64" s="7"/>
      <c r="C64" s="6"/>
      <c r="D64" s="6"/>
      <c r="E64" s="6"/>
      <c r="F64" s="6"/>
      <c r="G64" s="6"/>
      <c r="H64" s="6"/>
      <c r="I64" s="6"/>
      <c r="J64" s="8" t="str">
        <f t="shared" si="1"/>
        <v/>
      </c>
      <c r="K64" s="6"/>
      <c r="L64" s="6"/>
      <c r="M64" s="6"/>
      <c r="N64" s="6"/>
    </row>
    <row r="65" spans="1:14" hidden="1">
      <c r="A65" s="6" t="str">
        <f>"SUG-00" &amp; TEXT(ROW() - ROW(tblSuggestions[[#Headers],[Suggestion ID]]), "0;-0")</f>
        <v>SUG-0061</v>
      </c>
      <c r="B65" s="7"/>
      <c r="C65" s="6"/>
      <c r="D65" s="6"/>
      <c r="E65" s="6"/>
      <c r="F65" s="6"/>
      <c r="G65" s="6"/>
      <c r="H65" s="6"/>
      <c r="I65" s="6"/>
      <c r="J65" s="8" t="str">
        <f t="shared" si="1"/>
        <v/>
      </c>
      <c r="K65" s="6"/>
      <c r="L65" s="6"/>
      <c r="M65" s="6"/>
      <c r="N65" s="6"/>
    </row>
    <row r="66" spans="1:14" hidden="1">
      <c r="A66" s="6" t="str">
        <f>"SUG-00" &amp; TEXT(ROW() - ROW(tblSuggestions[[#Headers],[Suggestion ID]]), "0;-0")</f>
        <v>SUG-0062</v>
      </c>
      <c r="B66" s="7"/>
      <c r="C66" s="6"/>
      <c r="D66" s="6"/>
      <c r="E66" s="6"/>
      <c r="F66" s="6"/>
      <c r="G66" s="6"/>
      <c r="H66" s="6"/>
      <c r="I66" s="6"/>
      <c r="J66" s="8" t="str">
        <f t="shared" si="1"/>
        <v/>
      </c>
      <c r="K66" s="6"/>
      <c r="L66" s="6"/>
      <c r="M66" s="6"/>
      <c r="N66" s="6"/>
    </row>
    <row r="67" spans="1:14" hidden="1">
      <c r="A67" s="6" t="str">
        <f>"SUG-00" &amp; TEXT(ROW() - ROW(tblSuggestions[[#Headers],[Suggestion ID]]), "0;-0")</f>
        <v>SUG-0063</v>
      </c>
      <c r="B67" s="7"/>
      <c r="C67" s="6"/>
      <c r="D67" s="6"/>
      <c r="E67" s="6"/>
      <c r="F67" s="6"/>
      <c r="G67" s="6"/>
      <c r="H67" s="6"/>
      <c r="I67" s="6"/>
      <c r="J67" s="8" t="str">
        <f t="shared" si="1"/>
        <v/>
      </c>
      <c r="K67" s="6"/>
      <c r="L67" s="6"/>
      <c r="M67" s="6"/>
      <c r="N67" s="6"/>
    </row>
    <row r="68" spans="1:14" hidden="1">
      <c r="A68" s="6" t="str">
        <f>"SUG-00" &amp; TEXT(ROW() - ROW(tblSuggestions[[#Headers],[Suggestion ID]]), "0;-0")</f>
        <v>SUG-0064</v>
      </c>
      <c r="B68" s="7"/>
      <c r="C68" s="6"/>
      <c r="D68" s="6"/>
      <c r="E68" s="6"/>
      <c r="F68" s="6"/>
      <c r="G68" s="6"/>
      <c r="H68" s="6"/>
      <c r="I68" s="6"/>
      <c r="J68" s="8" t="str">
        <f t="shared" si="1"/>
        <v/>
      </c>
      <c r="K68" s="6"/>
      <c r="L68" s="6"/>
      <c r="M68" s="6"/>
      <c r="N68" s="6"/>
    </row>
    <row r="69" spans="1:14" hidden="1">
      <c r="A69" s="6" t="str">
        <f>"SUG-00" &amp; TEXT(ROW() - ROW(tblSuggestions[[#Headers],[Suggestion ID]]), "0;-0")</f>
        <v>SUG-0065</v>
      </c>
      <c r="B69" s="7"/>
      <c r="C69" s="6"/>
      <c r="D69" s="6"/>
      <c r="E69" s="6"/>
      <c r="F69" s="6"/>
      <c r="G69" s="6"/>
      <c r="H69" s="6"/>
      <c r="I69" s="6"/>
      <c r="J69" s="8" t="str">
        <f t="shared" ref="J69:J100" si="2">IF($F69="","",IF($H69="High",3,IF($H69="Medium",2,IF($H69="Low",1,0)))+IF($I69="Low",3,IF($I69="Medium",2,IF($I69="High",1,0))))</f>
        <v/>
      </c>
      <c r="K69" s="6"/>
      <c r="L69" s="6"/>
      <c r="M69" s="6"/>
      <c r="N69" s="6"/>
    </row>
    <row r="70" spans="1:14" hidden="1">
      <c r="A70" s="6" t="str">
        <f>"SUG-00" &amp; TEXT(ROW() - ROW(tblSuggestions[[#Headers],[Suggestion ID]]), "0;-0")</f>
        <v>SUG-0066</v>
      </c>
      <c r="B70" s="7"/>
      <c r="C70" s="6"/>
      <c r="D70" s="6"/>
      <c r="E70" s="6"/>
      <c r="F70" s="6"/>
      <c r="G70" s="6"/>
      <c r="H70" s="6"/>
      <c r="I70" s="6"/>
      <c r="J70" s="8" t="str">
        <f t="shared" si="2"/>
        <v/>
      </c>
      <c r="K70" s="6"/>
      <c r="L70" s="6"/>
      <c r="M70" s="6"/>
      <c r="N70" s="6"/>
    </row>
    <row r="71" spans="1:14" hidden="1">
      <c r="A71" s="6" t="str">
        <f>"SUG-00" &amp; TEXT(ROW() - ROW(tblSuggestions[[#Headers],[Suggestion ID]]), "0;-0")</f>
        <v>SUG-0067</v>
      </c>
      <c r="B71" s="7"/>
      <c r="C71" s="6"/>
      <c r="D71" s="6"/>
      <c r="E71" s="6"/>
      <c r="F71" s="6"/>
      <c r="G71" s="6"/>
      <c r="H71" s="6"/>
      <c r="I71" s="6"/>
      <c r="J71" s="8" t="str">
        <f t="shared" si="2"/>
        <v/>
      </c>
      <c r="K71" s="6"/>
      <c r="L71" s="6"/>
      <c r="M71" s="6"/>
      <c r="N71" s="6"/>
    </row>
    <row r="72" spans="1:14" hidden="1">
      <c r="A72" s="6" t="str">
        <f>"SUG-00" &amp; TEXT(ROW() - ROW(tblSuggestions[[#Headers],[Suggestion ID]]), "0;-0")</f>
        <v>SUG-0068</v>
      </c>
      <c r="B72" s="7"/>
      <c r="C72" s="6"/>
      <c r="D72" s="6"/>
      <c r="E72" s="6"/>
      <c r="F72" s="6"/>
      <c r="G72" s="6"/>
      <c r="H72" s="6"/>
      <c r="I72" s="6"/>
      <c r="J72" s="8" t="str">
        <f t="shared" si="2"/>
        <v/>
      </c>
      <c r="K72" s="6"/>
      <c r="L72" s="6"/>
      <c r="M72" s="6"/>
      <c r="N72" s="6"/>
    </row>
    <row r="73" spans="1:14" hidden="1">
      <c r="A73" s="6" t="str">
        <f>"SUG-00" &amp; TEXT(ROW() - ROW(tblSuggestions[[#Headers],[Suggestion ID]]), "0;-0")</f>
        <v>SUG-0069</v>
      </c>
      <c r="B73" s="7"/>
      <c r="C73" s="6"/>
      <c r="D73" s="6"/>
      <c r="E73" s="6"/>
      <c r="F73" s="6"/>
      <c r="G73" s="6"/>
      <c r="H73" s="6"/>
      <c r="I73" s="6"/>
      <c r="J73" s="8" t="str">
        <f t="shared" si="2"/>
        <v/>
      </c>
      <c r="K73" s="6"/>
      <c r="L73" s="6"/>
      <c r="M73" s="6"/>
      <c r="N73" s="6"/>
    </row>
    <row r="74" spans="1:14" hidden="1">
      <c r="A74" s="6" t="str">
        <f>"SUG-00" &amp; TEXT(ROW() - ROW(tblSuggestions[[#Headers],[Suggestion ID]]), "0;-0")</f>
        <v>SUG-0070</v>
      </c>
      <c r="B74" s="7"/>
      <c r="C74" s="6"/>
      <c r="D74" s="6"/>
      <c r="E74" s="6"/>
      <c r="F74" s="6"/>
      <c r="G74" s="6"/>
      <c r="H74" s="6"/>
      <c r="I74" s="6"/>
      <c r="J74" s="8" t="str">
        <f t="shared" si="2"/>
        <v/>
      </c>
      <c r="K74" s="6"/>
      <c r="L74" s="6"/>
      <c r="M74" s="6"/>
      <c r="N74" s="6"/>
    </row>
    <row r="75" spans="1:14" hidden="1">
      <c r="A75" s="6" t="str">
        <f>"SUG-00" &amp; TEXT(ROW() - ROW(tblSuggestions[[#Headers],[Suggestion ID]]), "0;-0")</f>
        <v>SUG-0071</v>
      </c>
      <c r="B75" s="7"/>
      <c r="C75" s="6"/>
      <c r="D75" s="6"/>
      <c r="E75" s="6"/>
      <c r="F75" s="6"/>
      <c r="G75" s="6"/>
      <c r="H75" s="6"/>
      <c r="I75" s="6"/>
      <c r="J75" s="8" t="str">
        <f t="shared" si="2"/>
        <v/>
      </c>
      <c r="K75" s="6"/>
      <c r="L75" s="6"/>
      <c r="M75" s="6"/>
      <c r="N75" s="6"/>
    </row>
    <row r="76" spans="1:14" hidden="1">
      <c r="A76" s="6" t="str">
        <f>"SUG-00" &amp; TEXT(ROW() - ROW(tblSuggestions[[#Headers],[Suggestion ID]]), "0;-0")</f>
        <v>SUG-0072</v>
      </c>
      <c r="B76" s="7"/>
      <c r="C76" s="6"/>
      <c r="D76" s="6"/>
      <c r="E76" s="6"/>
      <c r="F76" s="6"/>
      <c r="G76" s="6"/>
      <c r="H76" s="6"/>
      <c r="I76" s="6"/>
      <c r="J76" s="8" t="str">
        <f t="shared" si="2"/>
        <v/>
      </c>
      <c r="K76" s="6"/>
      <c r="L76" s="6"/>
      <c r="M76" s="6"/>
      <c r="N76" s="6"/>
    </row>
    <row r="77" spans="1:14" hidden="1">
      <c r="A77" s="6" t="str">
        <f>"SUG-00" &amp; TEXT(ROW() - ROW(tblSuggestions[[#Headers],[Suggestion ID]]), "0;-0")</f>
        <v>SUG-0073</v>
      </c>
      <c r="B77" s="7"/>
      <c r="C77" s="6"/>
      <c r="D77" s="6"/>
      <c r="E77" s="6"/>
      <c r="F77" s="6"/>
      <c r="G77" s="6"/>
      <c r="H77" s="6"/>
      <c r="I77" s="6"/>
      <c r="J77" s="8" t="str">
        <f t="shared" si="2"/>
        <v/>
      </c>
      <c r="K77" s="6"/>
      <c r="L77" s="6"/>
      <c r="M77" s="6"/>
      <c r="N77" s="6"/>
    </row>
    <row r="78" spans="1:14" hidden="1">
      <c r="A78" s="6" t="str">
        <f>"SUG-00" &amp; TEXT(ROW() - ROW(tblSuggestions[[#Headers],[Suggestion ID]]), "0;-0")</f>
        <v>SUG-0074</v>
      </c>
      <c r="B78" s="7"/>
      <c r="C78" s="6"/>
      <c r="D78" s="6"/>
      <c r="E78" s="6"/>
      <c r="F78" s="6"/>
      <c r="G78" s="6"/>
      <c r="H78" s="6"/>
      <c r="I78" s="6"/>
      <c r="J78" s="8" t="str">
        <f t="shared" si="2"/>
        <v/>
      </c>
      <c r="K78" s="6"/>
      <c r="L78" s="6"/>
      <c r="M78" s="6"/>
      <c r="N78" s="6"/>
    </row>
    <row r="79" spans="1:14" hidden="1">
      <c r="A79" s="6" t="str">
        <f>"SUG-00" &amp; TEXT(ROW() - ROW(tblSuggestions[[#Headers],[Suggestion ID]]), "0;-0")</f>
        <v>SUG-0075</v>
      </c>
      <c r="B79" s="7"/>
      <c r="C79" s="6"/>
      <c r="D79" s="6"/>
      <c r="E79" s="6"/>
      <c r="F79" s="6"/>
      <c r="G79" s="6"/>
      <c r="H79" s="6"/>
      <c r="I79" s="6"/>
      <c r="J79" s="8" t="str">
        <f t="shared" si="2"/>
        <v/>
      </c>
      <c r="K79" s="6"/>
      <c r="L79" s="6"/>
      <c r="M79" s="6"/>
      <c r="N79" s="6"/>
    </row>
    <row r="80" spans="1:14" hidden="1">
      <c r="A80" s="6" t="str">
        <f>"SUG-00" &amp; TEXT(ROW() - ROW(tblSuggestions[[#Headers],[Suggestion ID]]), "0;-0")</f>
        <v>SUG-0076</v>
      </c>
      <c r="B80" s="7"/>
      <c r="C80" s="6"/>
      <c r="D80" s="6"/>
      <c r="E80" s="6"/>
      <c r="F80" s="6"/>
      <c r="G80" s="6"/>
      <c r="H80" s="6"/>
      <c r="I80" s="6"/>
      <c r="J80" s="8" t="str">
        <f t="shared" si="2"/>
        <v/>
      </c>
      <c r="K80" s="6"/>
      <c r="L80" s="6"/>
      <c r="M80" s="6"/>
      <c r="N80" s="6"/>
    </row>
    <row r="81" spans="1:14" hidden="1">
      <c r="A81" s="6" t="str">
        <f>"SUG-00" &amp; TEXT(ROW() - ROW(tblSuggestions[[#Headers],[Suggestion ID]]), "0;-0")</f>
        <v>SUG-0077</v>
      </c>
      <c r="B81" s="7"/>
      <c r="C81" s="6"/>
      <c r="D81" s="6"/>
      <c r="E81" s="6"/>
      <c r="F81" s="6"/>
      <c r="G81" s="6"/>
      <c r="H81" s="6"/>
      <c r="I81" s="6"/>
      <c r="J81" s="8" t="str">
        <f t="shared" si="2"/>
        <v/>
      </c>
      <c r="K81" s="6"/>
      <c r="L81" s="6"/>
      <c r="M81" s="6"/>
      <c r="N81" s="6"/>
    </row>
    <row r="82" spans="1:14" hidden="1">
      <c r="A82" s="6" t="str">
        <f>"SUG-00" &amp; TEXT(ROW() - ROW(tblSuggestions[[#Headers],[Suggestion ID]]), "0;-0")</f>
        <v>SUG-0078</v>
      </c>
      <c r="B82" s="7"/>
      <c r="C82" s="6"/>
      <c r="D82" s="6"/>
      <c r="E82" s="6"/>
      <c r="F82" s="6"/>
      <c r="G82" s="6"/>
      <c r="H82" s="6"/>
      <c r="I82" s="6"/>
      <c r="J82" s="8" t="str">
        <f t="shared" si="2"/>
        <v/>
      </c>
      <c r="K82" s="6"/>
      <c r="L82" s="6"/>
      <c r="M82" s="6"/>
      <c r="N82" s="6"/>
    </row>
    <row r="83" spans="1:14" hidden="1">
      <c r="A83" s="6" t="str">
        <f>"SUG-00" &amp; TEXT(ROW() - ROW(tblSuggestions[[#Headers],[Suggestion ID]]), "0;-0")</f>
        <v>SUG-0079</v>
      </c>
      <c r="B83" s="7"/>
      <c r="C83" s="6"/>
      <c r="D83" s="6"/>
      <c r="E83" s="6"/>
      <c r="F83" s="6"/>
      <c r="G83" s="6"/>
      <c r="H83" s="6"/>
      <c r="I83" s="6"/>
      <c r="J83" s="8" t="str">
        <f t="shared" si="2"/>
        <v/>
      </c>
      <c r="K83" s="6"/>
      <c r="L83" s="6"/>
      <c r="M83" s="6"/>
      <c r="N83" s="6"/>
    </row>
    <row r="84" spans="1:14" hidden="1">
      <c r="A84" s="6" t="str">
        <f>"SUG-00" &amp; TEXT(ROW() - ROW(tblSuggestions[[#Headers],[Suggestion ID]]), "0;-0")</f>
        <v>SUG-0080</v>
      </c>
      <c r="B84" s="7"/>
      <c r="C84" s="6"/>
      <c r="D84" s="6"/>
      <c r="E84" s="6"/>
      <c r="F84" s="6"/>
      <c r="G84" s="6"/>
      <c r="H84" s="6"/>
      <c r="I84" s="6"/>
      <c r="J84" s="8" t="str">
        <f t="shared" si="2"/>
        <v/>
      </c>
      <c r="K84" s="6"/>
      <c r="L84" s="6"/>
      <c r="M84" s="6"/>
      <c r="N84" s="6"/>
    </row>
    <row r="85" spans="1:14" hidden="1">
      <c r="A85" s="6" t="str">
        <f>"SUG-00" &amp; TEXT(ROW() - ROW(tblSuggestions[[#Headers],[Suggestion ID]]), "0;-0")</f>
        <v>SUG-0081</v>
      </c>
      <c r="B85" s="7"/>
      <c r="C85" s="6"/>
      <c r="D85" s="6"/>
      <c r="E85" s="6"/>
      <c r="F85" s="6"/>
      <c r="G85" s="6"/>
      <c r="H85" s="6"/>
      <c r="I85" s="6"/>
      <c r="J85" s="8" t="str">
        <f t="shared" si="2"/>
        <v/>
      </c>
      <c r="K85" s="6"/>
      <c r="L85" s="6"/>
      <c r="M85" s="6"/>
      <c r="N85" s="6"/>
    </row>
    <row r="86" spans="1:14" hidden="1">
      <c r="A86" s="6" t="str">
        <f>"SUG-00" &amp; TEXT(ROW() - ROW(tblSuggestions[[#Headers],[Suggestion ID]]), "0;-0")</f>
        <v>SUG-0082</v>
      </c>
      <c r="B86" s="7"/>
      <c r="C86" s="6"/>
      <c r="D86" s="6"/>
      <c r="E86" s="6"/>
      <c r="F86" s="6"/>
      <c r="G86" s="6"/>
      <c r="H86" s="6"/>
      <c r="I86" s="6"/>
      <c r="J86" s="8" t="str">
        <f t="shared" si="2"/>
        <v/>
      </c>
      <c r="K86" s="6"/>
      <c r="L86" s="6"/>
      <c r="M86" s="6"/>
      <c r="N86" s="6"/>
    </row>
    <row r="87" spans="1:14" hidden="1">
      <c r="A87" s="6" t="str">
        <f>"SUG-00" &amp; TEXT(ROW() - ROW(tblSuggestions[[#Headers],[Suggestion ID]]), "0;-0")</f>
        <v>SUG-0083</v>
      </c>
      <c r="B87" s="7"/>
      <c r="C87" s="6"/>
      <c r="D87" s="6"/>
      <c r="E87" s="6"/>
      <c r="F87" s="6"/>
      <c r="G87" s="6"/>
      <c r="H87" s="6"/>
      <c r="I87" s="6"/>
      <c r="J87" s="8" t="str">
        <f t="shared" si="2"/>
        <v/>
      </c>
      <c r="K87" s="6"/>
      <c r="L87" s="6"/>
      <c r="M87" s="6"/>
      <c r="N87" s="6"/>
    </row>
    <row r="88" spans="1:14" hidden="1">
      <c r="A88" s="6" t="str">
        <f>"SUG-00" &amp; TEXT(ROW() - ROW(tblSuggestions[[#Headers],[Suggestion ID]]), "0;-0")</f>
        <v>SUG-0084</v>
      </c>
      <c r="B88" s="7"/>
      <c r="C88" s="6"/>
      <c r="D88" s="6"/>
      <c r="E88" s="6"/>
      <c r="F88" s="6"/>
      <c r="G88" s="6"/>
      <c r="H88" s="6"/>
      <c r="I88" s="6"/>
      <c r="J88" s="8" t="str">
        <f t="shared" si="2"/>
        <v/>
      </c>
      <c r="K88" s="6"/>
      <c r="L88" s="6"/>
      <c r="M88" s="6"/>
      <c r="N88" s="6"/>
    </row>
    <row r="89" spans="1:14" hidden="1">
      <c r="A89" s="6" t="str">
        <f>"SUG-00" &amp; TEXT(ROW() - ROW(tblSuggestions[[#Headers],[Suggestion ID]]), "0;-0")</f>
        <v>SUG-0085</v>
      </c>
      <c r="B89" s="7"/>
      <c r="C89" s="6"/>
      <c r="D89" s="6"/>
      <c r="E89" s="6"/>
      <c r="F89" s="6"/>
      <c r="G89" s="6"/>
      <c r="H89" s="6"/>
      <c r="I89" s="6"/>
      <c r="J89" s="8" t="str">
        <f t="shared" si="2"/>
        <v/>
      </c>
      <c r="K89" s="6"/>
      <c r="L89" s="6"/>
      <c r="M89" s="6"/>
      <c r="N89" s="6"/>
    </row>
    <row r="90" spans="1:14" hidden="1">
      <c r="A90" s="6" t="str">
        <f>"SUG-00" &amp; TEXT(ROW() - ROW(tblSuggestions[[#Headers],[Suggestion ID]]), "0;-0")</f>
        <v>SUG-0086</v>
      </c>
      <c r="B90" s="7"/>
      <c r="C90" s="6"/>
      <c r="D90" s="6"/>
      <c r="E90" s="6"/>
      <c r="F90" s="6"/>
      <c r="G90" s="6"/>
      <c r="H90" s="6"/>
      <c r="I90" s="6"/>
      <c r="J90" s="8" t="str">
        <f t="shared" si="2"/>
        <v/>
      </c>
      <c r="K90" s="6"/>
      <c r="L90" s="6"/>
      <c r="M90" s="6"/>
      <c r="N90" s="6"/>
    </row>
    <row r="91" spans="1:14" hidden="1">
      <c r="A91" s="6" t="str">
        <f>"SUG-00" &amp; TEXT(ROW() - ROW(tblSuggestions[[#Headers],[Suggestion ID]]), "0;-0")</f>
        <v>SUG-0087</v>
      </c>
      <c r="B91" s="7"/>
      <c r="C91" s="6"/>
      <c r="D91" s="6"/>
      <c r="E91" s="6"/>
      <c r="F91" s="6"/>
      <c r="G91" s="6"/>
      <c r="H91" s="6"/>
      <c r="I91" s="6"/>
      <c r="J91" s="8" t="str">
        <f t="shared" si="2"/>
        <v/>
      </c>
      <c r="K91" s="6"/>
      <c r="L91" s="6"/>
      <c r="M91" s="6"/>
      <c r="N91" s="6"/>
    </row>
    <row r="92" spans="1:14" hidden="1">
      <c r="A92" s="6" t="str">
        <f>"SUG-00" &amp; TEXT(ROW() - ROW(tblSuggestions[[#Headers],[Suggestion ID]]), "0;-0")</f>
        <v>SUG-0088</v>
      </c>
      <c r="B92" s="7"/>
      <c r="C92" s="6"/>
      <c r="D92" s="6"/>
      <c r="E92" s="6"/>
      <c r="F92" s="6"/>
      <c r="G92" s="6"/>
      <c r="H92" s="6"/>
      <c r="I92" s="6"/>
      <c r="J92" s="8" t="str">
        <f t="shared" si="2"/>
        <v/>
      </c>
      <c r="K92" s="6"/>
      <c r="L92" s="6"/>
      <c r="M92" s="6"/>
      <c r="N92" s="6"/>
    </row>
    <row r="93" spans="1:14" hidden="1">
      <c r="A93" s="6" t="str">
        <f>"SUG-00" &amp; TEXT(ROW() - ROW(tblSuggestions[[#Headers],[Suggestion ID]]), "0;-0")</f>
        <v>SUG-0089</v>
      </c>
      <c r="B93" s="7"/>
      <c r="C93" s="6"/>
      <c r="D93" s="6"/>
      <c r="E93" s="6"/>
      <c r="F93" s="6"/>
      <c r="G93" s="6"/>
      <c r="H93" s="6"/>
      <c r="I93" s="6"/>
      <c r="J93" s="8" t="str">
        <f t="shared" si="2"/>
        <v/>
      </c>
      <c r="K93" s="6"/>
      <c r="L93" s="6"/>
      <c r="M93" s="6"/>
      <c r="N93" s="6"/>
    </row>
    <row r="94" spans="1:14" hidden="1">
      <c r="A94" s="6" t="str">
        <f>"SUG-00" &amp; TEXT(ROW() - ROW(tblSuggestions[[#Headers],[Suggestion ID]]), "0;-0")</f>
        <v>SUG-0090</v>
      </c>
      <c r="B94" s="7"/>
      <c r="C94" s="6"/>
      <c r="D94" s="6"/>
      <c r="E94" s="6"/>
      <c r="F94" s="6"/>
      <c r="G94" s="6"/>
      <c r="H94" s="6"/>
      <c r="I94" s="6"/>
      <c r="J94" s="8" t="str">
        <f t="shared" si="2"/>
        <v/>
      </c>
      <c r="K94" s="6"/>
      <c r="L94" s="6"/>
      <c r="M94" s="6"/>
      <c r="N94" s="6"/>
    </row>
    <row r="95" spans="1:14" hidden="1">
      <c r="A95" s="6" t="str">
        <f>"SUG-00" &amp; TEXT(ROW() - ROW(tblSuggestions[[#Headers],[Suggestion ID]]), "0;-0")</f>
        <v>SUG-0091</v>
      </c>
      <c r="B95" s="7"/>
      <c r="C95" s="6"/>
      <c r="D95" s="6"/>
      <c r="E95" s="6"/>
      <c r="F95" s="6"/>
      <c r="G95" s="6"/>
      <c r="H95" s="6"/>
      <c r="I95" s="6"/>
      <c r="J95" s="8" t="str">
        <f t="shared" si="2"/>
        <v/>
      </c>
      <c r="K95" s="6"/>
      <c r="L95" s="6"/>
      <c r="M95" s="6"/>
      <c r="N95" s="6"/>
    </row>
    <row r="96" spans="1:14" hidden="1">
      <c r="A96" s="6" t="str">
        <f>"SUG-00" &amp; TEXT(ROW() - ROW(tblSuggestions[[#Headers],[Suggestion ID]]), "0;-0")</f>
        <v>SUG-0092</v>
      </c>
      <c r="B96" s="7"/>
      <c r="C96" s="6"/>
      <c r="D96" s="6"/>
      <c r="E96" s="6"/>
      <c r="F96" s="6"/>
      <c r="G96" s="6"/>
      <c r="H96" s="6"/>
      <c r="I96" s="6"/>
      <c r="J96" s="8" t="str">
        <f t="shared" si="2"/>
        <v/>
      </c>
      <c r="K96" s="6"/>
      <c r="L96" s="6"/>
      <c r="M96" s="6"/>
      <c r="N96" s="6"/>
    </row>
    <row r="97" spans="1:14" hidden="1">
      <c r="A97" s="6" t="str">
        <f>"SUG-00" &amp; TEXT(ROW() - ROW(tblSuggestions[[#Headers],[Suggestion ID]]), "0;-0")</f>
        <v>SUG-0093</v>
      </c>
      <c r="B97" s="7"/>
      <c r="C97" s="6"/>
      <c r="D97" s="6"/>
      <c r="E97" s="6"/>
      <c r="F97" s="6"/>
      <c r="G97" s="6"/>
      <c r="H97" s="6"/>
      <c r="I97" s="6"/>
      <c r="J97" s="8" t="str">
        <f t="shared" si="2"/>
        <v/>
      </c>
      <c r="K97" s="6"/>
      <c r="L97" s="6"/>
      <c r="M97" s="6"/>
      <c r="N97" s="6"/>
    </row>
    <row r="98" spans="1:14" hidden="1">
      <c r="A98" s="6" t="str">
        <f>"SUG-00" &amp; TEXT(ROW() - ROW(tblSuggestions[[#Headers],[Suggestion ID]]), "0;-0")</f>
        <v>SUG-0094</v>
      </c>
      <c r="B98" s="7"/>
      <c r="C98" s="6"/>
      <c r="D98" s="6"/>
      <c r="E98" s="6"/>
      <c r="F98" s="6"/>
      <c r="G98" s="6"/>
      <c r="H98" s="6"/>
      <c r="I98" s="6"/>
      <c r="J98" s="8" t="str">
        <f t="shared" si="2"/>
        <v/>
      </c>
      <c r="K98" s="6"/>
      <c r="L98" s="6"/>
      <c r="M98" s="6"/>
      <c r="N98" s="6"/>
    </row>
    <row r="99" spans="1:14" hidden="1">
      <c r="A99" s="6" t="str">
        <f>"SUG-00" &amp; TEXT(ROW() - ROW(tblSuggestions[[#Headers],[Suggestion ID]]), "0;-0")</f>
        <v>SUG-0095</v>
      </c>
      <c r="B99" s="7"/>
      <c r="C99" s="6"/>
      <c r="D99" s="6"/>
      <c r="E99" s="6"/>
      <c r="F99" s="6"/>
      <c r="G99" s="6"/>
      <c r="H99" s="6"/>
      <c r="I99" s="6"/>
      <c r="J99" s="8" t="str">
        <f t="shared" si="2"/>
        <v/>
      </c>
      <c r="K99" s="6"/>
      <c r="L99" s="6"/>
      <c r="M99" s="6"/>
      <c r="N99" s="6"/>
    </row>
    <row r="100" spans="1:14" hidden="1">
      <c r="A100" s="6" t="str">
        <f>"SUG-00" &amp; TEXT(ROW() - ROW(tblSuggestions[[#Headers],[Suggestion ID]]), "0;-0")</f>
        <v>SUG-0096</v>
      </c>
      <c r="B100" s="7"/>
      <c r="C100" s="6"/>
      <c r="D100" s="6"/>
      <c r="E100" s="6"/>
      <c r="F100" s="6"/>
      <c r="G100" s="6"/>
      <c r="H100" s="6"/>
      <c r="I100" s="6"/>
      <c r="J100" s="8" t="str">
        <f t="shared" si="2"/>
        <v/>
      </c>
      <c r="K100" s="6"/>
      <c r="L100" s="6"/>
      <c r="M100" s="6"/>
      <c r="N100" s="6"/>
    </row>
    <row r="101" spans="1:14" hidden="1">
      <c r="A101" s="6" t="str">
        <f>"SUG-00" &amp; TEXT(ROW() - ROW(tblSuggestions[[#Headers],[Suggestion ID]]), "0;-0")</f>
        <v>SUG-0097</v>
      </c>
      <c r="B101" s="7"/>
      <c r="C101" s="6"/>
      <c r="D101" s="6"/>
      <c r="E101" s="6"/>
      <c r="F101" s="6"/>
      <c r="G101" s="6"/>
      <c r="H101" s="6"/>
      <c r="I101" s="6"/>
      <c r="J101" s="8" t="str">
        <f t="shared" ref="J101:J132" si="3">IF($F101="","",IF($H101="High",3,IF($H101="Medium",2,IF($H101="Low",1,0)))+IF($I101="Low",3,IF($I101="Medium",2,IF($I101="High",1,0))))</f>
        <v/>
      </c>
      <c r="K101" s="6"/>
      <c r="L101" s="6"/>
      <c r="M101" s="6"/>
      <c r="N101" s="6"/>
    </row>
    <row r="102" spans="1:14" hidden="1">
      <c r="A102" s="6" t="str">
        <f>"SUG-00" &amp; TEXT(ROW() - ROW(tblSuggestions[[#Headers],[Suggestion ID]]), "0;-0")</f>
        <v>SUG-0098</v>
      </c>
      <c r="B102" s="7"/>
      <c r="C102" s="6"/>
      <c r="D102" s="6"/>
      <c r="E102" s="6"/>
      <c r="F102" s="6"/>
      <c r="G102" s="6"/>
      <c r="H102" s="6"/>
      <c r="I102" s="6"/>
      <c r="J102" s="8" t="str">
        <f t="shared" si="3"/>
        <v/>
      </c>
      <c r="K102" s="6"/>
      <c r="L102" s="6"/>
      <c r="M102" s="6"/>
      <c r="N102" s="6"/>
    </row>
    <row r="103" spans="1:14" hidden="1">
      <c r="A103" s="6" t="str">
        <f>"SUG-00" &amp; TEXT(ROW() - ROW(tblSuggestions[[#Headers],[Suggestion ID]]), "0;-0")</f>
        <v>SUG-0099</v>
      </c>
      <c r="B103" s="7"/>
      <c r="C103" s="6"/>
      <c r="D103" s="6"/>
      <c r="E103" s="6"/>
      <c r="F103" s="6"/>
      <c r="G103" s="6"/>
      <c r="H103" s="6"/>
      <c r="I103" s="6"/>
      <c r="J103" s="8" t="str">
        <f t="shared" si="3"/>
        <v/>
      </c>
      <c r="K103" s="6"/>
      <c r="L103" s="6"/>
      <c r="M103" s="6"/>
      <c r="N103" s="6"/>
    </row>
    <row r="104" spans="1:14" hidden="1">
      <c r="A104" s="6" t="str">
        <f>"SUG-00" &amp; TEXT(ROW() - ROW(tblSuggestions[[#Headers],[Suggestion ID]]), "0;-0")</f>
        <v>SUG-00100</v>
      </c>
      <c r="B104" s="7"/>
      <c r="C104" s="6"/>
      <c r="D104" s="6"/>
      <c r="E104" s="6"/>
      <c r="F104" s="6"/>
      <c r="G104" s="6"/>
      <c r="H104" s="6"/>
      <c r="I104" s="6"/>
      <c r="J104" s="8" t="str">
        <f t="shared" si="3"/>
        <v/>
      </c>
      <c r="K104" s="6"/>
      <c r="L104" s="6"/>
      <c r="M104" s="6"/>
      <c r="N104" s="6"/>
    </row>
    <row r="105" spans="1:14" hidden="1">
      <c r="A105" s="6" t="str">
        <f>"SUG-00" &amp; TEXT(ROW() - ROW(tblSuggestions[[#Headers],[Suggestion ID]]), "0;-0")</f>
        <v>SUG-00101</v>
      </c>
      <c r="B105" s="7"/>
      <c r="C105" s="6"/>
      <c r="D105" s="6"/>
      <c r="E105" s="6"/>
      <c r="F105" s="6"/>
      <c r="G105" s="6"/>
      <c r="H105" s="6"/>
      <c r="I105" s="6"/>
      <c r="J105" s="8" t="str">
        <f t="shared" si="3"/>
        <v/>
      </c>
      <c r="K105" s="6"/>
      <c r="L105" s="6"/>
      <c r="M105" s="6"/>
      <c r="N105" s="6"/>
    </row>
    <row r="106" spans="1:14" hidden="1">
      <c r="A106" s="6" t="str">
        <f>"SUG-00" &amp; TEXT(ROW() - ROW(tblSuggestions[[#Headers],[Suggestion ID]]), "0;-0")</f>
        <v>SUG-00102</v>
      </c>
      <c r="B106" s="7"/>
      <c r="C106" s="6"/>
      <c r="D106" s="6"/>
      <c r="E106" s="6"/>
      <c r="F106" s="6"/>
      <c r="G106" s="6"/>
      <c r="H106" s="6"/>
      <c r="I106" s="6"/>
      <c r="J106" s="8" t="str">
        <f t="shared" si="3"/>
        <v/>
      </c>
      <c r="K106" s="6"/>
      <c r="L106" s="6"/>
      <c r="M106" s="6"/>
      <c r="N106" s="6"/>
    </row>
    <row r="107" spans="1:14" hidden="1">
      <c r="A107" s="6" t="str">
        <f>"SUG-00" &amp; TEXT(ROW() - ROW(tblSuggestions[[#Headers],[Suggestion ID]]), "0;-0")</f>
        <v>SUG-00103</v>
      </c>
      <c r="B107" s="7"/>
      <c r="C107" s="6"/>
      <c r="D107" s="6"/>
      <c r="E107" s="6"/>
      <c r="F107" s="6"/>
      <c r="G107" s="6"/>
      <c r="H107" s="6"/>
      <c r="I107" s="6"/>
      <c r="J107" s="8" t="str">
        <f t="shared" si="3"/>
        <v/>
      </c>
      <c r="K107" s="6"/>
      <c r="L107" s="6"/>
      <c r="M107" s="6"/>
      <c r="N107" s="6"/>
    </row>
    <row r="108" spans="1:14" hidden="1">
      <c r="A108" s="6" t="str">
        <f>"SUG-00" &amp; TEXT(ROW() - ROW(tblSuggestions[[#Headers],[Suggestion ID]]), "0;-0")</f>
        <v>SUG-00104</v>
      </c>
      <c r="B108" s="7"/>
      <c r="C108" s="6"/>
      <c r="D108" s="6"/>
      <c r="E108" s="6"/>
      <c r="F108" s="6"/>
      <c r="G108" s="6"/>
      <c r="H108" s="6"/>
      <c r="I108" s="6"/>
      <c r="J108" s="8" t="str">
        <f t="shared" si="3"/>
        <v/>
      </c>
      <c r="K108" s="6"/>
      <c r="L108" s="6"/>
      <c r="M108" s="6"/>
      <c r="N108" s="6"/>
    </row>
    <row r="109" spans="1:14" hidden="1">
      <c r="A109" s="6" t="str">
        <f>"SUG-00" &amp; TEXT(ROW() - ROW(tblSuggestions[[#Headers],[Suggestion ID]]), "0;-0")</f>
        <v>SUG-00105</v>
      </c>
      <c r="B109" s="7"/>
      <c r="C109" s="6"/>
      <c r="D109" s="6"/>
      <c r="E109" s="6"/>
      <c r="F109" s="6"/>
      <c r="G109" s="6"/>
      <c r="H109" s="6"/>
      <c r="I109" s="6"/>
      <c r="J109" s="8" t="str">
        <f t="shared" si="3"/>
        <v/>
      </c>
      <c r="K109" s="6"/>
      <c r="L109" s="6"/>
      <c r="M109" s="6"/>
      <c r="N109" s="6"/>
    </row>
    <row r="110" spans="1:14" hidden="1">
      <c r="A110" s="6" t="str">
        <f>"SUG-00" &amp; TEXT(ROW() - ROW(tblSuggestions[[#Headers],[Suggestion ID]]), "0;-0")</f>
        <v>SUG-00106</v>
      </c>
      <c r="B110" s="7"/>
      <c r="C110" s="6"/>
      <c r="D110" s="6"/>
      <c r="E110" s="6"/>
      <c r="F110" s="6"/>
      <c r="G110" s="6"/>
      <c r="H110" s="6"/>
      <c r="I110" s="6"/>
      <c r="J110" s="8" t="str">
        <f t="shared" si="3"/>
        <v/>
      </c>
      <c r="K110" s="6"/>
      <c r="L110" s="6"/>
      <c r="M110" s="6"/>
      <c r="N110" s="6"/>
    </row>
    <row r="111" spans="1:14" hidden="1">
      <c r="A111" s="6" t="str">
        <f>"SUG-00" &amp; TEXT(ROW() - ROW(tblSuggestions[[#Headers],[Suggestion ID]]), "0;-0")</f>
        <v>SUG-00107</v>
      </c>
      <c r="B111" s="7"/>
      <c r="C111" s="6"/>
      <c r="D111" s="6"/>
      <c r="E111" s="6"/>
      <c r="F111" s="6"/>
      <c r="G111" s="6"/>
      <c r="H111" s="6"/>
      <c r="I111" s="6"/>
      <c r="J111" s="8" t="str">
        <f t="shared" si="3"/>
        <v/>
      </c>
      <c r="K111" s="6"/>
      <c r="L111" s="6"/>
      <c r="M111" s="6"/>
      <c r="N111" s="6"/>
    </row>
    <row r="112" spans="1:14" hidden="1">
      <c r="A112" s="6" t="str">
        <f>"SUG-00" &amp; TEXT(ROW() - ROW(tblSuggestions[[#Headers],[Suggestion ID]]), "0;-0")</f>
        <v>SUG-00108</v>
      </c>
      <c r="B112" s="7"/>
      <c r="C112" s="6"/>
      <c r="D112" s="6"/>
      <c r="E112" s="6"/>
      <c r="F112" s="6"/>
      <c r="G112" s="6"/>
      <c r="H112" s="6"/>
      <c r="I112" s="6"/>
      <c r="J112" s="8" t="str">
        <f t="shared" si="3"/>
        <v/>
      </c>
      <c r="K112" s="6"/>
      <c r="L112" s="6"/>
      <c r="M112" s="6"/>
      <c r="N112" s="6"/>
    </row>
    <row r="113" spans="1:14" hidden="1">
      <c r="A113" s="6" t="str">
        <f>"SUG-00" &amp; TEXT(ROW() - ROW(tblSuggestions[[#Headers],[Suggestion ID]]), "0;-0")</f>
        <v>SUG-00109</v>
      </c>
      <c r="B113" s="7"/>
      <c r="C113" s="6"/>
      <c r="D113" s="6"/>
      <c r="E113" s="6"/>
      <c r="F113" s="6"/>
      <c r="G113" s="6"/>
      <c r="H113" s="6"/>
      <c r="I113" s="6"/>
      <c r="J113" s="8" t="str">
        <f t="shared" si="3"/>
        <v/>
      </c>
      <c r="K113" s="6"/>
      <c r="L113" s="6"/>
      <c r="M113" s="6"/>
      <c r="N113" s="6"/>
    </row>
    <row r="114" spans="1:14" hidden="1">
      <c r="A114" s="6" t="str">
        <f>"SUG-00" &amp; TEXT(ROW() - ROW(tblSuggestions[[#Headers],[Suggestion ID]]), "0;-0")</f>
        <v>SUG-00110</v>
      </c>
      <c r="B114" s="7"/>
      <c r="C114" s="6"/>
      <c r="D114" s="6"/>
      <c r="E114" s="6"/>
      <c r="F114" s="6"/>
      <c r="G114" s="6"/>
      <c r="H114" s="6"/>
      <c r="I114" s="6"/>
      <c r="J114" s="8" t="str">
        <f t="shared" si="3"/>
        <v/>
      </c>
      <c r="K114" s="6"/>
      <c r="L114" s="6"/>
      <c r="M114" s="6"/>
      <c r="N114" s="6"/>
    </row>
    <row r="115" spans="1:14" hidden="1">
      <c r="A115" s="6" t="str">
        <f>"SUG-00" &amp; TEXT(ROW() - ROW(tblSuggestions[[#Headers],[Suggestion ID]]), "0;-0")</f>
        <v>SUG-00111</v>
      </c>
      <c r="B115" s="7"/>
      <c r="C115" s="6"/>
      <c r="D115" s="6"/>
      <c r="E115" s="6"/>
      <c r="F115" s="6"/>
      <c r="G115" s="6"/>
      <c r="H115" s="6"/>
      <c r="I115" s="6"/>
      <c r="J115" s="8" t="str">
        <f t="shared" si="3"/>
        <v/>
      </c>
      <c r="K115" s="6"/>
      <c r="L115" s="6"/>
      <c r="M115" s="6"/>
      <c r="N115" s="6"/>
    </row>
    <row r="116" spans="1:14" hidden="1">
      <c r="A116" s="6" t="str">
        <f>"SUG-00" &amp; TEXT(ROW() - ROW(tblSuggestions[[#Headers],[Suggestion ID]]), "0;-0")</f>
        <v>SUG-00112</v>
      </c>
      <c r="B116" s="7"/>
      <c r="C116" s="6"/>
      <c r="D116" s="6"/>
      <c r="E116" s="6"/>
      <c r="F116" s="6"/>
      <c r="G116" s="6"/>
      <c r="H116" s="6"/>
      <c r="I116" s="6"/>
      <c r="J116" s="8" t="str">
        <f t="shared" si="3"/>
        <v/>
      </c>
      <c r="K116" s="6"/>
      <c r="L116" s="6"/>
      <c r="M116" s="6"/>
      <c r="N116" s="6"/>
    </row>
    <row r="117" spans="1:14" hidden="1">
      <c r="A117" s="6" t="str">
        <f>"SUG-00" &amp; TEXT(ROW() - ROW(tblSuggestions[[#Headers],[Suggestion ID]]), "0;-0")</f>
        <v>SUG-00113</v>
      </c>
      <c r="B117" s="7"/>
      <c r="C117" s="6"/>
      <c r="D117" s="6"/>
      <c r="E117" s="6"/>
      <c r="F117" s="6"/>
      <c r="G117" s="6"/>
      <c r="H117" s="6"/>
      <c r="I117" s="6"/>
      <c r="J117" s="8" t="str">
        <f t="shared" si="3"/>
        <v/>
      </c>
      <c r="K117" s="6"/>
      <c r="L117" s="6"/>
      <c r="M117" s="6"/>
      <c r="N117" s="6"/>
    </row>
    <row r="118" spans="1:14" hidden="1">
      <c r="A118" s="6" t="str">
        <f>"SUG-00" &amp; TEXT(ROW() - ROW(tblSuggestions[[#Headers],[Suggestion ID]]), "0;-0")</f>
        <v>SUG-00114</v>
      </c>
      <c r="B118" s="7"/>
      <c r="C118" s="6"/>
      <c r="D118" s="6"/>
      <c r="E118" s="6"/>
      <c r="F118" s="6"/>
      <c r="G118" s="6"/>
      <c r="H118" s="6"/>
      <c r="I118" s="6"/>
      <c r="J118" s="8" t="str">
        <f t="shared" si="3"/>
        <v/>
      </c>
      <c r="K118" s="6"/>
      <c r="L118" s="6"/>
      <c r="M118" s="6"/>
      <c r="N118" s="6"/>
    </row>
    <row r="119" spans="1:14" hidden="1">
      <c r="A119" s="6" t="str">
        <f>"SUG-00" &amp; TEXT(ROW() - ROW(tblSuggestions[[#Headers],[Suggestion ID]]), "0;-0")</f>
        <v>SUG-00115</v>
      </c>
      <c r="B119" s="7"/>
      <c r="C119" s="6"/>
      <c r="D119" s="6"/>
      <c r="E119" s="6"/>
      <c r="F119" s="6"/>
      <c r="G119" s="6"/>
      <c r="H119" s="6"/>
      <c r="I119" s="6"/>
      <c r="J119" s="8" t="str">
        <f t="shared" si="3"/>
        <v/>
      </c>
      <c r="K119" s="6"/>
      <c r="L119" s="6"/>
      <c r="M119" s="6"/>
      <c r="N119" s="6"/>
    </row>
    <row r="120" spans="1:14" hidden="1">
      <c r="A120" s="6" t="str">
        <f>"SUG-00" &amp; TEXT(ROW() - ROW(tblSuggestions[[#Headers],[Suggestion ID]]), "0;-0")</f>
        <v>SUG-00116</v>
      </c>
      <c r="B120" s="7"/>
      <c r="C120" s="6"/>
      <c r="D120" s="6"/>
      <c r="E120" s="6"/>
      <c r="F120" s="6"/>
      <c r="G120" s="6"/>
      <c r="H120" s="6"/>
      <c r="I120" s="6"/>
      <c r="J120" s="8" t="str">
        <f t="shared" si="3"/>
        <v/>
      </c>
      <c r="K120" s="6"/>
      <c r="L120" s="6"/>
      <c r="M120" s="6"/>
      <c r="N120" s="6"/>
    </row>
    <row r="121" spans="1:14" hidden="1">
      <c r="A121" s="6" t="str">
        <f>"SUG-00" &amp; TEXT(ROW() - ROW(tblSuggestions[[#Headers],[Suggestion ID]]), "0;-0")</f>
        <v>SUG-00117</v>
      </c>
      <c r="B121" s="7"/>
      <c r="C121" s="6"/>
      <c r="D121" s="6"/>
      <c r="E121" s="6"/>
      <c r="F121" s="6"/>
      <c r="G121" s="6"/>
      <c r="H121" s="6"/>
      <c r="I121" s="6"/>
      <c r="J121" s="8" t="str">
        <f t="shared" si="3"/>
        <v/>
      </c>
      <c r="K121" s="6"/>
      <c r="L121" s="6"/>
      <c r="M121" s="6"/>
      <c r="N121" s="6"/>
    </row>
    <row r="122" spans="1:14" hidden="1">
      <c r="A122" s="6" t="str">
        <f>"SUG-00" &amp; TEXT(ROW() - ROW(tblSuggestions[[#Headers],[Suggestion ID]]), "0;-0")</f>
        <v>SUG-00118</v>
      </c>
      <c r="B122" s="7"/>
      <c r="C122" s="6"/>
      <c r="D122" s="6"/>
      <c r="E122" s="6"/>
      <c r="F122" s="6"/>
      <c r="G122" s="6"/>
      <c r="H122" s="6"/>
      <c r="I122" s="6"/>
      <c r="J122" s="8" t="str">
        <f t="shared" si="3"/>
        <v/>
      </c>
      <c r="K122" s="6"/>
      <c r="L122" s="6"/>
      <c r="M122" s="6"/>
      <c r="N122" s="6"/>
    </row>
    <row r="123" spans="1:14" hidden="1">
      <c r="A123" s="6" t="str">
        <f>"SUG-00" &amp; TEXT(ROW() - ROW(tblSuggestions[[#Headers],[Suggestion ID]]), "0;-0")</f>
        <v>SUG-00119</v>
      </c>
      <c r="B123" s="7"/>
      <c r="C123" s="6"/>
      <c r="D123" s="6"/>
      <c r="E123" s="6"/>
      <c r="F123" s="6"/>
      <c r="G123" s="6"/>
      <c r="H123" s="6"/>
      <c r="I123" s="6"/>
      <c r="J123" s="8" t="str">
        <f t="shared" si="3"/>
        <v/>
      </c>
      <c r="K123" s="6"/>
      <c r="L123" s="6"/>
      <c r="M123" s="6"/>
      <c r="N123" s="6"/>
    </row>
    <row r="124" spans="1:14" hidden="1">
      <c r="A124" s="6" t="str">
        <f>"SUG-00" &amp; TEXT(ROW() - ROW(tblSuggestions[[#Headers],[Suggestion ID]]), "0;-0")</f>
        <v>SUG-00120</v>
      </c>
      <c r="B124" s="7"/>
      <c r="C124" s="6"/>
      <c r="D124" s="6"/>
      <c r="E124" s="6"/>
      <c r="F124" s="6"/>
      <c r="G124" s="6"/>
      <c r="H124" s="6"/>
      <c r="I124" s="6"/>
      <c r="J124" s="8" t="str">
        <f t="shared" si="3"/>
        <v/>
      </c>
      <c r="K124" s="6"/>
      <c r="L124" s="6"/>
      <c r="M124" s="6"/>
      <c r="N124" s="6"/>
    </row>
    <row r="125" spans="1:14" hidden="1">
      <c r="A125" s="6" t="str">
        <f>"SUG-00" &amp; TEXT(ROW() - ROW(tblSuggestions[[#Headers],[Suggestion ID]]), "0;-0")</f>
        <v>SUG-00121</v>
      </c>
      <c r="B125" s="7"/>
      <c r="C125" s="6"/>
      <c r="D125" s="6"/>
      <c r="E125" s="6"/>
      <c r="F125" s="6"/>
      <c r="G125" s="6"/>
      <c r="H125" s="6"/>
      <c r="I125" s="6"/>
      <c r="J125" s="8" t="str">
        <f t="shared" si="3"/>
        <v/>
      </c>
      <c r="K125" s="6"/>
      <c r="L125" s="6"/>
      <c r="M125" s="6"/>
      <c r="N125" s="6"/>
    </row>
    <row r="126" spans="1:14" hidden="1">
      <c r="A126" s="6" t="str">
        <f>"SUG-00" &amp; TEXT(ROW() - ROW(tblSuggestions[[#Headers],[Suggestion ID]]), "0;-0")</f>
        <v>SUG-00122</v>
      </c>
      <c r="B126" s="7"/>
      <c r="C126" s="6"/>
      <c r="D126" s="6"/>
      <c r="E126" s="6"/>
      <c r="F126" s="6"/>
      <c r="G126" s="6"/>
      <c r="H126" s="6"/>
      <c r="I126" s="6"/>
      <c r="J126" s="8" t="str">
        <f t="shared" si="3"/>
        <v/>
      </c>
      <c r="K126" s="6"/>
      <c r="L126" s="6"/>
      <c r="M126" s="6"/>
      <c r="N126" s="6"/>
    </row>
    <row r="127" spans="1:14" hidden="1">
      <c r="A127" s="6" t="str">
        <f>"SUG-00" &amp; TEXT(ROW() - ROW(tblSuggestions[[#Headers],[Suggestion ID]]), "0;-0")</f>
        <v>SUG-00123</v>
      </c>
      <c r="B127" s="7"/>
      <c r="C127" s="6"/>
      <c r="D127" s="6"/>
      <c r="E127" s="6"/>
      <c r="F127" s="6"/>
      <c r="G127" s="6"/>
      <c r="H127" s="6"/>
      <c r="I127" s="6"/>
      <c r="J127" s="8" t="str">
        <f t="shared" si="3"/>
        <v/>
      </c>
      <c r="K127" s="6"/>
      <c r="L127" s="6"/>
      <c r="M127" s="6"/>
      <c r="N127" s="6"/>
    </row>
    <row r="128" spans="1:14" hidden="1">
      <c r="A128" s="6" t="str">
        <f>"SUG-00" &amp; TEXT(ROW() - ROW(tblSuggestions[[#Headers],[Suggestion ID]]), "0;-0")</f>
        <v>SUG-00124</v>
      </c>
      <c r="B128" s="7"/>
      <c r="C128" s="6"/>
      <c r="D128" s="6"/>
      <c r="E128" s="6"/>
      <c r="F128" s="6"/>
      <c r="G128" s="6"/>
      <c r="H128" s="6"/>
      <c r="I128" s="6"/>
      <c r="J128" s="8" t="str">
        <f t="shared" si="3"/>
        <v/>
      </c>
      <c r="K128" s="6"/>
      <c r="L128" s="6"/>
      <c r="M128" s="6"/>
      <c r="N128" s="6"/>
    </row>
    <row r="129" spans="1:14" hidden="1">
      <c r="A129" s="6" t="str">
        <f>"SUG-00" &amp; TEXT(ROW() - ROW(tblSuggestions[[#Headers],[Suggestion ID]]), "0;-0")</f>
        <v>SUG-00125</v>
      </c>
      <c r="B129" s="7"/>
      <c r="C129" s="6"/>
      <c r="D129" s="6"/>
      <c r="E129" s="6"/>
      <c r="F129" s="6"/>
      <c r="G129" s="6"/>
      <c r="H129" s="6"/>
      <c r="I129" s="6"/>
      <c r="J129" s="8" t="str">
        <f t="shared" si="3"/>
        <v/>
      </c>
      <c r="K129" s="6"/>
      <c r="L129" s="6"/>
      <c r="M129" s="6"/>
      <c r="N129" s="6"/>
    </row>
    <row r="130" spans="1:14" hidden="1">
      <c r="A130" s="6" t="str">
        <f>"SUG-00" &amp; TEXT(ROW() - ROW(tblSuggestions[[#Headers],[Suggestion ID]]), "0;-0")</f>
        <v>SUG-00126</v>
      </c>
      <c r="B130" s="7"/>
      <c r="C130" s="6"/>
      <c r="D130" s="6"/>
      <c r="E130" s="6"/>
      <c r="F130" s="6"/>
      <c r="G130" s="6"/>
      <c r="H130" s="6"/>
      <c r="I130" s="6"/>
      <c r="J130" s="8" t="str">
        <f t="shared" si="3"/>
        <v/>
      </c>
      <c r="K130" s="6"/>
      <c r="L130" s="6"/>
      <c r="M130" s="6"/>
      <c r="N130" s="6"/>
    </row>
    <row r="131" spans="1:14" hidden="1">
      <c r="A131" s="6" t="str">
        <f>"SUG-00" &amp; TEXT(ROW() - ROW(tblSuggestions[[#Headers],[Suggestion ID]]), "0;-0")</f>
        <v>SUG-00127</v>
      </c>
      <c r="B131" s="7"/>
      <c r="C131" s="6"/>
      <c r="D131" s="6"/>
      <c r="E131" s="6"/>
      <c r="F131" s="6"/>
      <c r="G131" s="6"/>
      <c r="H131" s="6"/>
      <c r="I131" s="6"/>
      <c r="J131" s="8" t="str">
        <f t="shared" si="3"/>
        <v/>
      </c>
      <c r="K131" s="6"/>
      <c r="L131" s="6"/>
      <c r="M131" s="6"/>
      <c r="N131" s="6"/>
    </row>
    <row r="132" spans="1:14" hidden="1">
      <c r="A132" s="6" t="str">
        <f>"SUG-00" &amp; TEXT(ROW() - ROW(tblSuggestions[[#Headers],[Suggestion ID]]), "0;-0")</f>
        <v>SUG-00128</v>
      </c>
      <c r="B132" s="7"/>
      <c r="C132" s="6"/>
      <c r="D132" s="6"/>
      <c r="E132" s="6"/>
      <c r="F132" s="6"/>
      <c r="G132" s="6"/>
      <c r="H132" s="6"/>
      <c r="I132" s="6"/>
      <c r="J132" s="8" t="str">
        <f t="shared" si="3"/>
        <v/>
      </c>
      <c r="K132" s="6"/>
      <c r="L132" s="6"/>
      <c r="M132" s="6"/>
      <c r="N132" s="6"/>
    </row>
    <row r="133" spans="1:14" hidden="1">
      <c r="A133" s="6" t="str">
        <f>"SUG-00" &amp; TEXT(ROW() - ROW(tblSuggestions[[#Headers],[Suggestion ID]]), "0;-0")</f>
        <v>SUG-00129</v>
      </c>
      <c r="B133" s="7"/>
      <c r="C133" s="6"/>
      <c r="D133" s="6"/>
      <c r="E133" s="6"/>
      <c r="F133" s="6"/>
      <c r="G133" s="6"/>
      <c r="H133" s="6"/>
      <c r="I133" s="6"/>
      <c r="J133" s="8" t="str">
        <f t="shared" ref="J133:J154" si="4">IF($F133="","",IF($H133="High",3,IF($H133="Medium",2,IF($H133="Low",1,0)))+IF($I133="Low",3,IF($I133="Medium",2,IF($I133="High",1,0))))</f>
        <v/>
      </c>
      <c r="K133" s="6"/>
      <c r="L133" s="6"/>
      <c r="M133" s="6"/>
      <c r="N133" s="6"/>
    </row>
    <row r="134" spans="1:14" hidden="1">
      <c r="A134" s="6" t="str">
        <f>"SUG-00" &amp; TEXT(ROW() - ROW(tblSuggestions[[#Headers],[Suggestion ID]]), "0;-0")</f>
        <v>SUG-00130</v>
      </c>
      <c r="B134" s="7"/>
      <c r="C134" s="6"/>
      <c r="D134" s="6"/>
      <c r="E134" s="6"/>
      <c r="F134" s="6"/>
      <c r="G134" s="6"/>
      <c r="H134" s="6"/>
      <c r="I134" s="6"/>
      <c r="J134" s="8" t="str">
        <f t="shared" si="4"/>
        <v/>
      </c>
      <c r="K134" s="6"/>
      <c r="L134" s="6"/>
      <c r="M134" s="6"/>
      <c r="N134" s="6"/>
    </row>
    <row r="135" spans="1:14" hidden="1">
      <c r="A135" s="6" t="str">
        <f>"SUG-00" &amp; TEXT(ROW() - ROW(tblSuggestions[[#Headers],[Suggestion ID]]), "0;-0")</f>
        <v>SUG-00131</v>
      </c>
      <c r="B135" s="7"/>
      <c r="C135" s="6"/>
      <c r="D135" s="6"/>
      <c r="E135" s="6"/>
      <c r="F135" s="6"/>
      <c r="G135" s="6"/>
      <c r="H135" s="6"/>
      <c r="I135" s="6"/>
      <c r="J135" s="8" t="str">
        <f t="shared" si="4"/>
        <v/>
      </c>
      <c r="K135" s="6"/>
      <c r="L135" s="6"/>
      <c r="M135" s="6"/>
      <c r="N135" s="6"/>
    </row>
    <row r="136" spans="1:14" hidden="1">
      <c r="A136" s="6" t="str">
        <f>"SUG-00" &amp; TEXT(ROW() - ROW(tblSuggestions[[#Headers],[Suggestion ID]]), "0;-0")</f>
        <v>SUG-00132</v>
      </c>
      <c r="B136" s="7"/>
      <c r="C136" s="6"/>
      <c r="D136" s="6"/>
      <c r="E136" s="6"/>
      <c r="F136" s="6"/>
      <c r="G136" s="6"/>
      <c r="H136" s="6"/>
      <c r="I136" s="6"/>
      <c r="J136" s="8" t="str">
        <f t="shared" si="4"/>
        <v/>
      </c>
      <c r="K136" s="6"/>
      <c r="L136" s="6"/>
      <c r="M136" s="6"/>
      <c r="N136" s="6"/>
    </row>
    <row r="137" spans="1:14" hidden="1">
      <c r="A137" s="6" t="str">
        <f>"SUG-00" &amp; TEXT(ROW() - ROW(tblSuggestions[[#Headers],[Suggestion ID]]), "0;-0")</f>
        <v>SUG-00133</v>
      </c>
      <c r="B137" s="7"/>
      <c r="C137" s="6"/>
      <c r="D137" s="6"/>
      <c r="E137" s="6"/>
      <c r="F137" s="6"/>
      <c r="G137" s="6"/>
      <c r="H137" s="6"/>
      <c r="I137" s="6"/>
      <c r="J137" s="8" t="str">
        <f t="shared" si="4"/>
        <v/>
      </c>
      <c r="K137" s="6"/>
      <c r="L137" s="6"/>
      <c r="M137" s="6"/>
      <c r="N137" s="6"/>
    </row>
    <row r="138" spans="1:14" hidden="1">
      <c r="A138" s="6" t="str">
        <f>"SUG-00" &amp; TEXT(ROW() - ROW(tblSuggestions[[#Headers],[Suggestion ID]]), "0;-0")</f>
        <v>SUG-00134</v>
      </c>
      <c r="B138" s="7"/>
      <c r="C138" s="6"/>
      <c r="D138" s="6"/>
      <c r="E138" s="6"/>
      <c r="F138" s="6"/>
      <c r="G138" s="6"/>
      <c r="H138" s="6"/>
      <c r="I138" s="6"/>
      <c r="J138" s="8" t="str">
        <f t="shared" si="4"/>
        <v/>
      </c>
      <c r="K138" s="6"/>
      <c r="L138" s="6"/>
      <c r="M138" s="6"/>
      <c r="N138" s="6"/>
    </row>
    <row r="139" spans="1:14" hidden="1">
      <c r="A139" s="6" t="str">
        <f>"SUG-00" &amp; TEXT(ROW() - ROW(tblSuggestions[[#Headers],[Suggestion ID]]), "0;-0")</f>
        <v>SUG-00135</v>
      </c>
      <c r="B139" s="7"/>
      <c r="C139" s="6"/>
      <c r="D139" s="6"/>
      <c r="E139" s="6"/>
      <c r="F139" s="6"/>
      <c r="G139" s="6"/>
      <c r="H139" s="6"/>
      <c r="I139" s="6"/>
      <c r="J139" s="8" t="str">
        <f t="shared" si="4"/>
        <v/>
      </c>
      <c r="K139" s="6"/>
      <c r="L139" s="6"/>
      <c r="M139" s="6"/>
      <c r="N139" s="6"/>
    </row>
    <row r="140" spans="1:14" hidden="1">
      <c r="A140" s="6" t="str">
        <f>"SUG-00" &amp; TEXT(ROW() - ROW(tblSuggestions[[#Headers],[Suggestion ID]]), "0;-0")</f>
        <v>SUG-00136</v>
      </c>
      <c r="B140" s="7"/>
      <c r="C140" s="6"/>
      <c r="D140" s="6"/>
      <c r="E140" s="6"/>
      <c r="F140" s="6"/>
      <c r="G140" s="6"/>
      <c r="H140" s="6"/>
      <c r="I140" s="6"/>
      <c r="J140" s="8" t="str">
        <f t="shared" si="4"/>
        <v/>
      </c>
      <c r="K140" s="6"/>
      <c r="L140" s="6"/>
      <c r="M140" s="6"/>
      <c r="N140" s="6"/>
    </row>
    <row r="141" spans="1:14" hidden="1">
      <c r="A141" s="6" t="str">
        <f>"SUG-00" &amp; TEXT(ROW() - ROW(tblSuggestions[[#Headers],[Suggestion ID]]), "0;-0")</f>
        <v>SUG-00137</v>
      </c>
      <c r="B141" s="7"/>
      <c r="C141" s="6"/>
      <c r="D141" s="6"/>
      <c r="E141" s="6"/>
      <c r="F141" s="6"/>
      <c r="G141" s="6"/>
      <c r="H141" s="6"/>
      <c r="I141" s="6"/>
      <c r="J141" s="8" t="str">
        <f t="shared" si="4"/>
        <v/>
      </c>
      <c r="K141" s="6"/>
      <c r="L141" s="6"/>
      <c r="M141" s="6"/>
      <c r="N141" s="6"/>
    </row>
    <row r="142" spans="1:14" hidden="1">
      <c r="A142" s="6" t="str">
        <f>"SUG-00" &amp; TEXT(ROW() - ROW(tblSuggestions[[#Headers],[Suggestion ID]]), "0;-0")</f>
        <v>SUG-00138</v>
      </c>
      <c r="B142" s="7"/>
      <c r="C142" s="6"/>
      <c r="D142" s="6"/>
      <c r="E142" s="6"/>
      <c r="F142" s="6"/>
      <c r="G142" s="6"/>
      <c r="H142" s="6"/>
      <c r="I142" s="6"/>
      <c r="J142" s="8" t="str">
        <f t="shared" si="4"/>
        <v/>
      </c>
      <c r="K142" s="6"/>
      <c r="L142" s="6"/>
      <c r="M142" s="6"/>
      <c r="N142" s="6"/>
    </row>
    <row r="143" spans="1:14" hidden="1">
      <c r="A143" s="6" t="str">
        <f>"SUG-00" &amp; TEXT(ROW() - ROW(tblSuggestions[[#Headers],[Suggestion ID]]), "0;-0")</f>
        <v>SUG-00139</v>
      </c>
      <c r="B143" s="7"/>
      <c r="C143" s="6"/>
      <c r="D143" s="6"/>
      <c r="E143" s="6"/>
      <c r="F143" s="6"/>
      <c r="G143" s="6"/>
      <c r="H143" s="6"/>
      <c r="I143" s="6"/>
      <c r="J143" s="8" t="str">
        <f t="shared" si="4"/>
        <v/>
      </c>
      <c r="K143" s="6"/>
      <c r="L143" s="6"/>
      <c r="M143" s="6"/>
      <c r="N143" s="6"/>
    </row>
    <row r="144" spans="1:14" hidden="1">
      <c r="A144" s="6" t="str">
        <f>"SUG-00" &amp; TEXT(ROW() - ROW(tblSuggestions[[#Headers],[Suggestion ID]]), "0;-0")</f>
        <v>SUG-00140</v>
      </c>
      <c r="B144" s="7"/>
      <c r="C144" s="6"/>
      <c r="D144" s="6"/>
      <c r="E144" s="6"/>
      <c r="F144" s="6"/>
      <c r="G144" s="6"/>
      <c r="H144" s="6"/>
      <c r="I144" s="6"/>
      <c r="J144" s="8" t="str">
        <f t="shared" si="4"/>
        <v/>
      </c>
      <c r="K144" s="6"/>
      <c r="L144" s="6"/>
      <c r="M144" s="6"/>
      <c r="N144" s="6"/>
    </row>
    <row r="145" spans="1:14" hidden="1">
      <c r="A145" s="6" t="str">
        <f>"SUG-00" &amp; TEXT(ROW() - ROW(tblSuggestions[[#Headers],[Suggestion ID]]), "0;-0")</f>
        <v>SUG-00141</v>
      </c>
      <c r="B145" s="7"/>
      <c r="C145" s="6"/>
      <c r="D145" s="6"/>
      <c r="E145" s="6"/>
      <c r="F145" s="6"/>
      <c r="G145" s="6"/>
      <c r="H145" s="6"/>
      <c r="I145" s="6"/>
      <c r="J145" s="8" t="str">
        <f t="shared" si="4"/>
        <v/>
      </c>
      <c r="K145" s="6"/>
      <c r="L145" s="6"/>
      <c r="M145" s="6"/>
      <c r="N145" s="6"/>
    </row>
    <row r="146" spans="1:14" hidden="1">
      <c r="A146" s="6" t="str">
        <f>"SUG-00" &amp; TEXT(ROW() - ROW(tblSuggestions[[#Headers],[Suggestion ID]]), "0;-0")</f>
        <v>SUG-00142</v>
      </c>
      <c r="B146" s="7"/>
      <c r="C146" s="6"/>
      <c r="D146" s="6"/>
      <c r="E146" s="6"/>
      <c r="F146" s="6"/>
      <c r="G146" s="6"/>
      <c r="H146" s="6"/>
      <c r="I146" s="6"/>
      <c r="J146" s="8" t="str">
        <f t="shared" si="4"/>
        <v/>
      </c>
      <c r="K146" s="6"/>
      <c r="L146" s="6"/>
      <c r="M146" s="6"/>
      <c r="N146" s="6"/>
    </row>
    <row r="147" spans="1:14" hidden="1">
      <c r="A147" s="6" t="str">
        <f>"SUG-00" &amp; TEXT(ROW() - ROW(tblSuggestions[[#Headers],[Suggestion ID]]), "0;-0")</f>
        <v>SUG-00143</v>
      </c>
      <c r="B147" s="7"/>
      <c r="C147" s="6"/>
      <c r="D147" s="6"/>
      <c r="E147" s="6"/>
      <c r="F147" s="6"/>
      <c r="G147" s="6"/>
      <c r="H147" s="6"/>
      <c r="I147" s="6"/>
      <c r="J147" s="8" t="str">
        <f t="shared" si="4"/>
        <v/>
      </c>
      <c r="K147" s="6"/>
      <c r="L147" s="6"/>
      <c r="M147" s="6"/>
      <c r="N147" s="6"/>
    </row>
    <row r="148" spans="1:14" hidden="1">
      <c r="A148" s="6" t="str">
        <f>"SUG-00" &amp; TEXT(ROW() - ROW(tblSuggestions[[#Headers],[Suggestion ID]]), "0;-0")</f>
        <v>SUG-00144</v>
      </c>
      <c r="B148" s="7"/>
      <c r="C148" s="6"/>
      <c r="D148" s="6"/>
      <c r="E148" s="6"/>
      <c r="F148" s="6"/>
      <c r="G148" s="6"/>
      <c r="H148" s="6"/>
      <c r="I148" s="6"/>
      <c r="J148" s="8" t="str">
        <f t="shared" si="4"/>
        <v/>
      </c>
      <c r="K148" s="6"/>
      <c r="L148" s="6"/>
      <c r="M148" s="6"/>
      <c r="N148" s="6"/>
    </row>
    <row r="149" spans="1:14" hidden="1">
      <c r="A149" s="6" t="str">
        <f>"SUG-00" &amp; TEXT(ROW() - ROW(tblSuggestions[[#Headers],[Suggestion ID]]), "0;-0")</f>
        <v>SUG-00145</v>
      </c>
      <c r="B149" s="7"/>
      <c r="C149" s="6"/>
      <c r="D149" s="6"/>
      <c r="E149" s="6"/>
      <c r="F149" s="6"/>
      <c r="G149" s="6"/>
      <c r="H149" s="6"/>
      <c r="I149" s="6"/>
      <c r="J149" s="8" t="str">
        <f t="shared" si="4"/>
        <v/>
      </c>
      <c r="K149" s="6"/>
      <c r="L149" s="6"/>
      <c r="M149" s="6"/>
      <c r="N149" s="6"/>
    </row>
    <row r="150" spans="1:14" hidden="1">
      <c r="A150" s="6" t="str">
        <f>"SUG-00" &amp; TEXT(ROW() - ROW(tblSuggestions[[#Headers],[Suggestion ID]]), "0;-0")</f>
        <v>SUG-00146</v>
      </c>
      <c r="B150" s="7"/>
      <c r="C150" s="6"/>
      <c r="D150" s="6"/>
      <c r="E150" s="6"/>
      <c r="F150" s="6"/>
      <c r="G150" s="6"/>
      <c r="H150" s="6"/>
      <c r="I150" s="6"/>
      <c r="J150" s="8" t="str">
        <f t="shared" si="4"/>
        <v/>
      </c>
      <c r="K150" s="6"/>
      <c r="L150" s="6"/>
      <c r="M150" s="6"/>
      <c r="N150" s="6"/>
    </row>
    <row r="151" spans="1:14" hidden="1">
      <c r="A151" s="6" t="str">
        <f>"SUG-00" &amp; TEXT(ROW() - ROW(tblSuggestions[[#Headers],[Suggestion ID]]), "0;-0")</f>
        <v>SUG-00147</v>
      </c>
      <c r="B151" s="7"/>
      <c r="C151" s="6"/>
      <c r="D151" s="6"/>
      <c r="E151" s="6"/>
      <c r="F151" s="6"/>
      <c r="G151" s="6"/>
      <c r="H151" s="6"/>
      <c r="I151" s="6"/>
      <c r="J151" s="8" t="str">
        <f t="shared" si="4"/>
        <v/>
      </c>
      <c r="K151" s="6"/>
      <c r="L151" s="6"/>
      <c r="M151" s="6"/>
      <c r="N151" s="6"/>
    </row>
    <row r="152" spans="1:14" hidden="1">
      <c r="A152" s="6" t="str">
        <f>"SUG-00" &amp; TEXT(ROW() - ROW(tblSuggestions[[#Headers],[Suggestion ID]]), "0;-0")</f>
        <v>SUG-00148</v>
      </c>
      <c r="B152" s="7"/>
      <c r="C152" s="6"/>
      <c r="D152" s="6"/>
      <c r="E152" s="6"/>
      <c r="F152" s="6"/>
      <c r="G152" s="6"/>
      <c r="H152" s="6"/>
      <c r="I152" s="6"/>
      <c r="J152" s="8" t="str">
        <f t="shared" si="4"/>
        <v/>
      </c>
      <c r="K152" s="6"/>
      <c r="L152" s="6"/>
      <c r="M152" s="6"/>
      <c r="N152" s="6"/>
    </row>
    <row r="153" spans="1:14" hidden="1">
      <c r="A153" s="6" t="str">
        <f>"SUG-00" &amp; TEXT(ROW() - ROW(tblSuggestions[[#Headers],[Suggestion ID]]), "0;-0")</f>
        <v>SUG-00149</v>
      </c>
      <c r="B153" s="7"/>
      <c r="C153" s="6"/>
      <c r="D153" s="6"/>
      <c r="E153" s="6"/>
      <c r="F153" s="6"/>
      <c r="G153" s="6"/>
      <c r="H153" s="6"/>
      <c r="I153" s="6"/>
      <c r="J153" s="8" t="str">
        <f t="shared" si="4"/>
        <v/>
      </c>
      <c r="K153" s="6"/>
      <c r="L153" s="6"/>
      <c r="M153" s="6"/>
      <c r="N153" s="6"/>
    </row>
    <row r="154" spans="1:14" hidden="1">
      <c r="A154" s="6" t="str">
        <f>"SUG-00" &amp; TEXT(ROW() - ROW(tblSuggestions[[#Headers],[Suggestion ID]]), "0;-0")</f>
        <v>SUG-00150</v>
      </c>
      <c r="B154" s="7"/>
      <c r="C154" s="6"/>
      <c r="D154" s="6"/>
      <c r="E154" s="6"/>
      <c r="F154" s="6"/>
      <c r="G154" s="6"/>
      <c r="H154" s="6"/>
      <c r="I154" s="6"/>
      <c r="J154" s="8" t="str">
        <f t="shared" si="4"/>
        <v/>
      </c>
      <c r="K154" s="6"/>
      <c r="L154" s="6"/>
      <c r="M154" s="6"/>
      <c r="N154" s="6"/>
    </row>
    <row r="155" spans="1:14" hidden="1">
      <c r="A155" s="6" t="str">
        <f>"SUG-00" &amp; TEXT(ROW() - ROW(tblSuggestions[[#Headers],[Suggestion ID]]), "0;-0")</f>
        <v>SUG-00151</v>
      </c>
    </row>
  </sheetData>
  <mergeCells count="2">
    <mergeCell ref="A2:H2"/>
    <mergeCell ref="A1:H1"/>
  </mergeCells>
  <conditionalFormatting sqref="K5:K155">
    <cfRule type="expression" dxfId="6" priority="5">
      <formula>K5="Completed"</formula>
    </cfRule>
    <cfRule type="expression" dxfId="5" priority="6">
      <formula>K5="Rejected"</formula>
    </cfRule>
    <cfRule type="expression" dxfId="4" priority="7">
      <formula>K5="Deferred"</formula>
    </cfRule>
  </conditionalFormatting>
  <conditionalFormatting sqref="H14">
    <cfRule type="expression" dxfId="3" priority="1">
      <formula>H14="Critical"</formula>
    </cfRule>
    <cfRule type="expression" dxfId="2" priority="2">
      <formula>H14="High"</formula>
    </cfRule>
    <cfRule type="expression" dxfId="1" priority="3">
      <formula>H14="Medium"</formula>
    </cfRule>
    <cfRule type="expression" dxfId="0" priority="4">
      <formula>H14="Low"</formula>
    </cfRule>
  </conditionalFormatting>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7">
        <x14:dataValidation type="list" allowBlank="1" errorTitle="Invalid entry" error="Select a value from the dropdown list." promptTitle="Input guidance" prompt="Choose from the dropdown list." xr:uid="{00000000-0002-0000-0500-000000000000}">
          <x14:formula1>
            <xm:f>Lists!$F$2:$F$50</xm:f>
          </x14:formula1>
          <xm:sqref>E5:E6 E8:E154</xm:sqref>
        </x14:dataValidation>
        <x14:dataValidation type="list" allowBlank="1" errorTitle="Invalid entry" error="Select a value from the dropdown list." promptTitle="Input guidance" prompt="Choose from the dropdown list." xr:uid="{00000000-0002-0000-0500-000001000000}">
          <x14:formula1>
            <xm:f>Lists!$H$2:$H$50</xm:f>
          </x14:formula1>
          <xm:sqref>H5:H13 H15:H154</xm:sqref>
        </x14:dataValidation>
        <x14:dataValidation type="list" allowBlank="1" errorTitle="Invalid entry" error="Select a value from the dropdown list." promptTitle="Input guidance" prompt="Choose from the dropdown list." xr:uid="{00000000-0002-0000-0500-000002000000}">
          <x14:formula1>
            <xm:f>Lists!$G$2:$G$50</xm:f>
          </x14:formula1>
          <xm:sqref>I5:I13 I15:I154</xm:sqref>
        </x14:dataValidation>
        <x14:dataValidation type="list" allowBlank="1" errorTitle="Invalid entry" error="Select a value from the dropdown list." promptTitle="Input guidance" prompt="Choose from the dropdown list." xr:uid="{00000000-0002-0000-0500-000003000000}">
          <x14:formula1>
            <xm:f>Lists!$B$2:$B$50</xm:f>
          </x14:formula1>
          <xm:sqref>K5:K155</xm:sqref>
        </x14:dataValidation>
        <x14:dataValidation type="list" allowBlank="1" errorTitle="Invalid entry" error="Select a value from the dropdown list." promptTitle="Input guidance" prompt="Choose from the dropdown list." xr:uid="{00000000-0002-0000-0400-000003000000}">
          <x14:formula1>
            <xm:f>Lists!$E$2:$E$50</xm:f>
          </x14:formula1>
          <xm:sqref>H14</xm:sqref>
        </x14:dataValidation>
        <x14:dataValidation type="list" allowBlank="1" errorTitle="Invalid entry" error="Select a value from the dropdown list." promptTitle="Input guidance" prompt="Choose from the dropdown list." xr:uid="{00000000-0002-0000-0400-000002000000}">
          <x14:formula1>
            <xm:f>Lists!$D$2:$D$50</xm:f>
          </x14:formula1>
          <xm:sqref>G14</xm:sqref>
        </x14:dataValidation>
        <x14:dataValidation type="list" allowBlank="1" errorTitle="Invalid entry" error="Select a value from the dropdown list." promptTitle="Input guidance" prompt="Choose from the dropdown list." xr:uid="{00000000-0002-0000-0400-000000000000}">
          <x14:formula1>
            <xm:f>Lists!$J$2:$J$50</xm:f>
          </x14:formula1>
          <xm:sqref>C14:C20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4"/>
  <sheetViews>
    <sheetView showGridLines="0" workbookViewId="0">
      <pane ySplit="4" topLeftCell="A5" activePane="bottomLeft" state="frozen"/>
      <selection pane="bottomLeft" activeCell="C12" sqref="C12"/>
    </sheetView>
  </sheetViews>
  <sheetFormatPr defaultRowHeight="15"/>
  <cols>
    <col min="1" max="1" width="14" customWidth="1"/>
    <col min="2" max="2" width="24" customWidth="1"/>
    <col min="3" max="4" width="28" customWidth="1"/>
    <col min="5" max="7" width="42" customWidth="1"/>
    <col min="8" max="9" width="28" customWidth="1"/>
  </cols>
  <sheetData>
    <row r="1" spans="1:9" ht="21.95" customHeight="1">
      <c r="A1" s="23" t="s">
        <v>342</v>
      </c>
      <c r="B1" s="33"/>
      <c r="C1" s="33"/>
      <c r="D1" s="33"/>
      <c r="E1" s="33"/>
      <c r="F1" s="33"/>
      <c r="G1" s="33"/>
      <c r="H1" s="33"/>
    </row>
    <row r="2" spans="1:9" ht="21.95" customHeight="1">
      <c r="A2" s="22" t="s">
        <v>343</v>
      </c>
      <c r="B2" s="33"/>
      <c r="C2" s="33"/>
      <c r="D2" s="33"/>
      <c r="E2" s="33"/>
      <c r="F2" s="33"/>
      <c r="G2" s="33"/>
      <c r="H2" s="33"/>
    </row>
    <row r="3" spans="1:9" ht="21.95" customHeight="1"/>
    <row r="4" spans="1:9" ht="21.95" customHeight="1">
      <c r="A4" s="5" t="s">
        <v>344</v>
      </c>
      <c r="B4" s="5" t="s">
        <v>345</v>
      </c>
      <c r="C4" s="5" t="s">
        <v>346</v>
      </c>
      <c r="D4" s="5" t="s">
        <v>347</v>
      </c>
      <c r="E4" s="5" t="s">
        <v>348</v>
      </c>
      <c r="F4" s="5" t="s">
        <v>349</v>
      </c>
      <c r="G4" s="5" t="s">
        <v>350</v>
      </c>
      <c r="H4" s="5" t="s">
        <v>351</v>
      </c>
      <c r="I4" s="5" t="s">
        <v>352</v>
      </c>
    </row>
    <row r="5" spans="1:9" ht="21.95" customHeight="1">
      <c r="A5" s="6" t="s">
        <v>353</v>
      </c>
      <c r="B5" s="6"/>
      <c r="C5" s="6"/>
      <c r="D5" s="6"/>
      <c r="E5" s="6"/>
      <c r="F5" s="6"/>
      <c r="G5" s="6"/>
      <c r="H5" s="6"/>
      <c r="I5" s="6"/>
    </row>
    <row r="6" spans="1:9" ht="21.95" customHeight="1">
      <c r="A6" s="6" t="s">
        <v>354</v>
      </c>
      <c r="B6" s="6"/>
      <c r="C6" s="6"/>
      <c r="D6" s="6"/>
      <c r="E6" s="6"/>
      <c r="F6" s="6"/>
      <c r="G6" s="6"/>
      <c r="H6" s="6"/>
      <c r="I6" s="6"/>
    </row>
    <row r="7" spans="1:9" ht="21.95" customHeight="1">
      <c r="A7" s="6"/>
      <c r="B7" s="6"/>
      <c r="C7" s="6"/>
      <c r="D7" s="6"/>
      <c r="E7" s="6"/>
      <c r="F7" s="6"/>
      <c r="G7" s="6"/>
      <c r="H7" s="6"/>
      <c r="I7" s="6"/>
    </row>
    <row r="8" spans="1:9" ht="21.95" customHeight="1">
      <c r="A8" s="6"/>
      <c r="B8" s="6"/>
      <c r="C8" s="6"/>
      <c r="D8" s="6"/>
      <c r="E8" s="6"/>
      <c r="F8" s="6"/>
      <c r="G8" s="6"/>
      <c r="H8" s="6"/>
      <c r="I8" s="6"/>
    </row>
    <row r="9" spans="1:9" ht="21.95" customHeight="1">
      <c r="A9" s="6"/>
      <c r="B9" s="6"/>
      <c r="C9" s="6"/>
      <c r="D9" s="6"/>
      <c r="E9" s="6"/>
      <c r="F9" s="6"/>
      <c r="G9" s="6"/>
      <c r="H9" s="6"/>
      <c r="I9" s="6"/>
    </row>
    <row r="10" spans="1:9" ht="21.95" customHeight="1">
      <c r="A10" s="6"/>
      <c r="B10" s="6"/>
      <c r="C10" s="6"/>
      <c r="D10" s="6"/>
      <c r="E10" s="6"/>
      <c r="F10" s="6"/>
      <c r="G10" s="6"/>
      <c r="H10" s="6"/>
      <c r="I10" s="6"/>
    </row>
    <row r="11" spans="1:9" ht="21.95" customHeight="1">
      <c r="A11" s="6"/>
      <c r="B11" s="6"/>
      <c r="C11" s="6"/>
      <c r="D11" s="6"/>
      <c r="E11" s="6"/>
      <c r="F11" s="6"/>
      <c r="G11" s="6"/>
      <c r="H11" s="6"/>
      <c r="I11" s="6"/>
    </row>
    <row r="12" spans="1:9" ht="21.95" customHeight="1">
      <c r="A12" s="6"/>
      <c r="B12" s="6"/>
      <c r="C12" s="6"/>
      <c r="D12" s="6"/>
      <c r="E12" s="6"/>
      <c r="F12" s="6"/>
      <c r="G12" s="6"/>
      <c r="H12" s="6"/>
      <c r="I12" s="6"/>
    </row>
    <row r="13" spans="1:9" ht="21.95" customHeight="1">
      <c r="A13" s="6"/>
      <c r="B13" s="6"/>
      <c r="C13" s="6"/>
      <c r="D13" s="6"/>
      <c r="E13" s="6"/>
      <c r="F13" s="6"/>
      <c r="G13" s="6"/>
      <c r="H13" s="6"/>
      <c r="I13" s="6"/>
    </row>
    <row r="14" spans="1:9" ht="21.95" customHeight="1">
      <c r="A14" s="6"/>
      <c r="B14" s="6"/>
      <c r="C14" s="6"/>
      <c r="D14" s="6"/>
      <c r="E14" s="6"/>
      <c r="F14" s="6"/>
      <c r="G14" s="6"/>
      <c r="H14" s="6"/>
      <c r="I14" s="6"/>
    </row>
    <row r="15" spans="1:9" ht="21.95" customHeight="1">
      <c r="A15" s="6"/>
      <c r="B15" s="6"/>
      <c r="C15" s="6"/>
      <c r="D15" s="6"/>
      <c r="E15" s="6"/>
      <c r="F15" s="6"/>
      <c r="G15" s="6"/>
      <c r="H15" s="6"/>
      <c r="I15" s="6"/>
    </row>
    <row r="16" spans="1:9" ht="21.95" customHeight="1">
      <c r="A16" s="6"/>
      <c r="B16" s="6"/>
      <c r="C16" s="6"/>
      <c r="D16" s="6"/>
      <c r="E16" s="6"/>
      <c r="F16" s="6"/>
      <c r="G16" s="6"/>
      <c r="H16" s="6"/>
      <c r="I16" s="6"/>
    </row>
    <row r="17" spans="1:9" ht="21.95" customHeight="1">
      <c r="A17" s="6"/>
      <c r="B17" s="6"/>
      <c r="C17" s="6"/>
      <c r="D17" s="6"/>
      <c r="E17" s="6"/>
      <c r="F17" s="6"/>
      <c r="G17" s="6"/>
      <c r="H17" s="6"/>
      <c r="I17" s="6"/>
    </row>
    <row r="18" spans="1:9" ht="21.95" customHeight="1">
      <c r="A18" s="6"/>
      <c r="B18" s="6"/>
      <c r="C18" s="6"/>
      <c r="D18" s="6"/>
      <c r="E18" s="6"/>
      <c r="F18" s="6"/>
      <c r="G18" s="6"/>
      <c r="H18" s="6"/>
      <c r="I18" s="6"/>
    </row>
    <row r="19" spans="1:9" ht="21.95" customHeight="1">
      <c r="A19" s="6"/>
      <c r="B19" s="6"/>
      <c r="C19" s="6"/>
      <c r="D19" s="6"/>
      <c r="E19" s="6"/>
      <c r="F19" s="6"/>
      <c r="G19" s="6"/>
      <c r="H19" s="6"/>
      <c r="I19" s="6"/>
    </row>
    <row r="20" spans="1:9" ht="21.95" customHeight="1">
      <c r="A20" s="6"/>
      <c r="B20" s="6"/>
      <c r="C20" s="6"/>
      <c r="D20" s="6"/>
      <c r="E20" s="6"/>
      <c r="F20" s="6"/>
      <c r="G20" s="6"/>
      <c r="H20" s="6"/>
      <c r="I20" s="6"/>
    </row>
    <row r="21" spans="1:9" ht="21.95" customHeight="1">
      <c r="A21" s="6"/>
      <c r="B21" s="6"/>
      <c r="C21" s="6"/>
      <c r="D21" s="6"/>
      <c r="E21" s="6"/>
      <c r="F21" s="6"/>
      <c r="G21" s="6"/>
      <c r="H21" s="6"/>
      <c r="I21" s="6"/>
    </row>
    <row r="22" spans="1:9" ht="21.95" customHeight="1">
      <c r="A22" s="6"/>
      <c r="B22" s="6"/>
      <c r="C22" s="6"/>
      <c r="D22" s="6"/>
      <c r="E22" s="6"/>
      <c r="F22" s="6"/>
      <c r="G22" s="6"/>
      <c r="H22" s="6"/>
      <c r="I22" s="6"/>
    </row>
    <row r="23" spans="1:9" ht="21.95" customHeight="1">
      <c r="A23" s="6"/>
      <c r="B23" s="6"/>
      <c r="C23" s="6"/>
      <c r="D23" s="6"/>
      <c r="E23" s="6"/>
      <c r="F23" s="6"/>
      <c r="G23" s="6"/>
      <c r="H23" s="6"/>
      <c r="I23" s="6"/>
    </row>
    <row r="24" spans="1:9" ht="21.95" customHeight="1">
      <c r="A24" s="6"/>
      <c r="B24" s="6"/>
      <c r="C24" s="6"/>
      <c r="D24" s="6"/>
      <c r="E24" s="6"/>
      <c r="F24" s="6"/>
      <c r="G24" s="6"/>
      <c r="H24" s="6"/>
      <c r="I24" s="6"/>
    </row>
    <row r="25" spans="1:9" ht="21.95" customHeight="1">
      <c r="A25" s="6"/>
      <c r="B25" s="6"/>
      <c r="C25" s="6"/>
      <c r="D25" s="6"/>
      <c r="E25" s="6"/>
      <c r="F25" s="6"/>
      <c r="G25" s="6"/>
      <c r="H25" s="6"/>
      <c r="I25" s="6"/>
    </row>
    <row r="26" spans="1:9" ht="21.95" customHeight="1">
      <c r="A26" s="6"/>
      <c r="B26" s="6"/>
      <c r="C26" s="6"/>
      <c r="D26" s="6"/>
      <c r="E26" s="6"/>
      <c r="F26" s="6"/>
      <c r="G26" s="6"/>
      <c r="H26" s="6"/>
      <c r="I26" s="6"/>
    </row>
    <row r="27" spans="1:9" ht="21.95" customHeight="1">
      <c r="A27" s="6"/>
      <c r="B27" s="6"/>
      <c r="C27" s="6"/>
      <c r="D27" s="6"/>
      <c r="E27" s="6"/>
      <c r="F27" s="6"/>
      <c r="G27" s="6"/>
      <c r="H27" s="6"/>
      <c r="I27" s="6"/>
    </row>
    <row r="28" spans="1:9" ht="21.95" customHeight="1">
      <c r="A28" s="6"/>
      <c r="B28" s="6"/>
      <c r="C28" s="6"/>
      <c r="D28" s="6"/>
      <c r="E28" s="6"/>
      <c r="F28" s="6"/>
      <c r="G28" s="6"/>
      <c r="H28" s="6"/>
      <c r="I28" s="6"/>
    </row>
    <row r="29" spans="1:9" ht="21.95" customHeight="1">
      <c r="A29" s="6"/>
      <c r="B29" s="6"/>
      <c r="C29" s="6"/>
      <c r="D29" s="6"/>
      <c r="E29" s="6"/>
      <c r="F29" s="6"/>
      <c r="G29" s="6"/>
      <c r="H29" s="6"/>
      <c r="I29" s="6"/>
    </row>
    <row r="30" spans="1:9" ht="21.95" customHeight="1">
      <c r="A30" s="6"/>
      <c r="B30" s="6"/>
      <c r="C30" s="6"/>
      <c r="D30" s="6"/>
      <c r="E30" s="6"/>
      <c r="F30" s="6"/>
      <c r="G30" s="6"/>
      <c r="H30" s="6"/>
      <c r="I30" s="6"/>
    </row>
    <row r="31" spans="1:9" ht="21.95" customHeight="1">
      <c r="A31" s="6"/>
      <c r="B31" s="6"/>
      <c r="C31" s="6"/>
      <c r="D31" s="6"/>
      <c r="E31" s="6"/>
      <c r="F31" s="6"/>
      <c r="G31" s="6"/>
      <c r="H31" s="6"/>
      <c r="I31" s="6"/>
    </row>
    <row r="32" spans="1:9" ht="21.95" customHeight="1">
      <c r="A32" s="6"/>
      <c r="B32" s="6"/>
      <c r="C32" s="6"/>
      <c r="D32" s="6"/>
      <c r="E32" s="6"/>
      <c r="F32" s="6"/>
      <c r="G32" s="6"/>
      <c r="H32" s="6"/>
      <c r="I32" s="6"/>
    </row>
    <row r="33" spans="1:9" ht="21.95" customHeight="1">
      <c r="A33" s="6"/>
      <c r="B33" s="6"/>
      <c r="C33" s="6"/>
      <c r="D33" s="6"/>
      <c r="E33" s="6"/>
      <c r="F33" s="6"/>
      <c r="G33" s="6"/>
      <c r="H33" s="6"/>
      <c r="I33" s="6"/>
    </row>
    <row r="34" spans="1:9" ht="21.95" customHeight="1">
      <c r="A34" s="6"/>
      <c r="B34" s="6"/>
      <c r="C34" s="6"/>
      <c r="D34" s="6"/>
      <c r="E34" s="6"/>
      <c r="F34" s="6"/>
      <c r="G34" s="6"/>
      <c r="H34" s="6"/>
      <c r="I34" s="6"/>
    </row>
    <row r="35" spans="1:9" ht="21.95" customHeight="1">
      <c r="A35" s="6"/>
      <c r="B35" s="6"/>
      <c r="C35" s="6"/>
      <c r="D35" s="6"/>
      <c r="E35" s="6"/>
      <c r="F35" s="6"/>
      <c r="G35" s="6"/>
      <c r="H35" s="6"/>
      <c r="I35" s="6"/>
    </row>
    <row r="36" spans="1:9" ht="21.95" customHeight="1">
      <c r="A36" s="6"/>
      <c r="B36" s="6"/>
      <c r="C36" s="6"/>
      <c r="D36" s="6"/>
      <c r="E36" s="6"/>
      <c r="F36" s="6"/>
      <c r="G36" s="6"/>
      <c r="H36" s="6"/>
      <c r="I36" s="6"/>
    </row>
    <row r="37" spans="1:9" ht="21.95" customHeight="1">
      <c r="A37" s="6"/>
      <c r="B37" s="6"/>
      <c r="C37" s="6"/>
      <c r="D37" s="6"/>
      <c r="E37" s="6"/>
      <c r="F37" s="6"/>
      <c r="G37" s="6"/>
      <c r="H37" s="6"/>
      <c r="I37" s="6"/>
    </row>
    <row r="38" spans="1:9" ht="21.95" customHeight="1">
      <c r="A38" s="6"/>
      <c r="B38" s="6"/>
      <c r="C38" s="6"/>
      <c r="D38" s="6"/>
      <c r="E38" s="6"/>
      <c r="F38" s="6"/>
      <c r="G38" s="6"/>
      <c r="H38" s="6"/>
      <c r="I38" s="6"/>
    </row>
    <row r="39" spans="1:9" ht="21.95" customHeight="1">
      <c r="A39" s="6"/>
      <c r="B39" s="6"/>
      <c r="C39" s="6"/>
      <c r="D39" s="6"/>
      <c r="E39" s="6"/>
      <c r="F39" s="6"/>
      <c r="G39" s="6"/>
      <c r="H39" s="6"/>
      <c r="I39" s="6"/>
    </row>
    <row r="40" spans="1:9" ht="21.95" customHeight="1">
      <c r="A40" s="6"/>
      <c r="B40" s="6"/>
      <c r="C40" s="6"/>
      <c r="D40" s="6"/>
      <c r="E40" s="6"/>
      <c r="F40" s="6"/>
      <c r="G40" s="6"/>
      <c r="H40" s="6"/>
      <c r="I40" s="6"/>
    </row>
    <row r="41" spans="1:9" ht="21.95" customHeight="1">
      <c r="A41" s="6"/>
      <c r="B41" s="6"/>
      <c r="C41" s="6"/>
      <c r="D41" s="6"/>
      <c r="E41" s="6"/>
      <c r="F41" s="6"/>
      <c r="G41" s="6"/>
      <c r="H41" s="6"/>
      <c r="I41" s="6"/>
    </row>
    <row r="42" spans="1:9" ht="21.95" customHeight="1">
      <c r="A42" s="6"/>
      <c r="B42" s="6"/>
      <c r="C42" s="6"/>
      <c r="D42" s="6"/>
      <c r="E42" s="6"/>
      <c r="F42" s="6"/>
      <c r="G42" s="6"/>
      <c r="H42" s="6"/>
      <c r="I42" s="6"/>
    </row>
    <row r="43" spans="1:9" ht="21.95" customHeight="1">
      <c r="A43" s="6"/>
      <c r="B43" s="6"/>
      <c r="C43" s="6"/>
      <c r="D43" s="6"/>
      <c r="E43" s="6"/>
      <c r="F43" s="6"/>
      <c r="G43" s="6"/>
      <c r="H43" s="6"/>
      <c r="I43" s="6"/>
    </row>
    <row r="44" spans="1:9" ht="21.95" customHeight="1">
      <c r="A44" s="6"/>
      <c r="B44" s="6"/>
      <c r="C44" s="6"/>
      <c r="D44" s="6"/>
      <c r="E44" s="6"/>
      <c r="F44" s="6"/>
      <c r="G44" s="6"/>
      <c r="H44" s="6"/>
      <c r="I44" s="6"/>
    </row>
    <row r="45" spans="1:9" ht="21.95" customHeight="1">
      <c r="A45" s="6"/>
      <c r="B45" s="6"/>
      <c r="C45" s="6"/>
      <c r="D45" s="6"/>
      <c r="E45" s="6"/>
      <c r="F45" s="6"/>
      <c r="G45" s="6"/>
      <c r="H45" s="6"/>
      <c r="I45" s="6"/>
    </row>
    <row r="46" spans="1:9" ht="21.95" customHeight="1">
      <c r="A46" s="6"/>
      <c r="B46" s="6"/>
      <c r="C46" s="6"/>
      <c r="D46" s="6"/>
      <c r="E46" s="6"/>
      <c r="F46" s="6"/>
      <c r="G46" s="6"/>
      <c r="H46" s="6"/>
      <c r="I46" s="6"/>
    </row>
    <row r="47" spans="1:9" ht="21.95" customHeight="1">
      <c r="A47" s="6"/>
      <c r="B47" s="6"/>
      <c r="C47" s="6"/>
      <c r="D47" s="6"/>
      <c r="E47" s="6"/>
      <c r="F47" s="6"/>
      <c r="G47" s="6"/>
      <c r="H47" s="6"/>
      <c r="I47" s="6"/>
    </row>
    <row r="48" spans="1:9" ht="21.95" customHeight="1">
      <c r="A48" s="6"/>
      <c r="B48" s="6"/>
      <c r="C48" s="6"/>
      <c r="D48" s="6"/>
      <c r="E48" s="6"/>
      <c r="F48" s="6"/>
      <c r="G48" s="6"/>
      <c r="H48" s="6"/>
      <c r="I48" s="6"/>
    </row>
    <row r="49" spans="1:9" ht="21.95" customHeight="1">
      <c r="A49" s="6"/>
      <c r="B49" s="6"/>
      <c r="C49" s="6"/>
      <c r="D49" s="6"/>
      <c r="E49" s="6"/>
      <c r="F49" s="6"/>
      <c r="G49" s="6"/>
      <c r="H49" s="6"/>
      <c r="I49" s="6"/>
    </row>
    <row r="50" spans="1:9" ht="21.95" customHeight="1">
      <c r="A50" s="6"/>
      <c r="B50" s="6"/>
      <c r="C50" s="6"/>
      <c r="D50" s="6"/>
      <c r="E50" s="6"/>
      <c r="F50" s="6"/>
      <c r="G50" s="6"/>
      <c r="H50" s="6"/>
      <c r="I50" s="6"/>
    </row>
    <row r="51" spans="1:9" ht="21.95" customHeight="1">
      <c r="A51" s="6"/>
      <c r="B51" s="6"/>
      <c r="C51" s="6"/>
      <c r="D51" s="6"/>
      <c r="E51" s="6"/>
      <c r="F51" s="6"/>
      <c r="G51" s="6"/>
      <c r="H51" s="6"/>
      <c r="I51" s="6"/>
    </row>
    <row r="52" spans="1:9" ht="21.95" customHeight="1">
      <c r="A52" s="6"/>
      <c r="B52" s="6"/>
      <c r="C52" s="6"/>
      <c r="D52" s="6"/>
      <c r="E52" s="6"/>
      <c r="F52" s="6"/>
      <c r="G52" s="6"/>
      <c r="H52" s="6"/>
      <c r="I52" s="6"/>
    </row>
    <row r="53" spans="1:9" ht="21.95" customHeight="1">
      <c r="A53" s="6"/>
      <c r="B53" s="6"/>
      <c r="C53" s="6"/>
      <c r="D53" s="6"/>
      <c r="E53" s="6"/>
      <c r="F53" s="6"/>
      <c r="G53" s="6"/>
      <c r="H53" s="6"/>
      <c r="I53" s="6"/>
    </row>
    <row r="54" spans="1:9" ht="21.95" customHeight="1">
      <c r="A54" s="6"/>
      <c r="B54" s="6"/>
      <c r="C54" s="6"/>
      <c r="D54" s="6"/>
      <c r="E54" s="6"/>
      <c r="F54" s="6"/>
      <c r="G54" s="6"/>
      <c r="H54" s="6"/>
      <c r="I54" s="6"/>
    </row>
    <row r="55" spans="1:9" ht="21.95" customHeight="1">
      <c r="A55" s="6"/>
      <c r="B55" s="6"/>
      <c r="C55" s="6"/>
      <c r="D55" s="6"/>
      <c r="E55" s="6"/>
      <c r="F55" s="6"/>
      <c r="G55" s="6"/>
      <c r="H55" s="6"/>
      <c r="I55" s="6"/>
    </row>
    <row r="56" spans="1:9" ht="21.95" customHeight="1">
      <c r="A56" s="6"/>
      <c r="B56" s="6"/>
      <c r="C56" s="6"/>
      <c r="D56" s="6"/>
      <c r="E56" s="6"/>
      <c r="F56" s="6"/>
      <c r="G56" s="6"/>
      <c r="H56" s="6"/>
      <c r="I56" s="6"/>
    </row>
    <row r="57" spans="1:9" ht="21.95" customHeight="1">
      <c r="A57" s="6"/>
      <c r="B57" s="6"/>
      <c r="C57" s="6"/>
      <c r="D57" s="6"/>
      <c r="E57" s="6"/>
      <c r="F57" s="6"/>
      <c r="G57" s="6"/>
      <c r="H57" s="6"/>
      <c r="I57" s="6"/>
    </row>
    <row r="58" spans="1:9" ht="21.95" customHeight="1">
      <c r="A58" s="6"/>
      <c r="B58" s="6"/>
      <c r="C58" s="6"/>
      <c r="D58" s="6"/>
      <c r="E58" s="6"/>
      <c r="F58" s="6"/>
      <c r="G58" s="6"/>
      <c r="H58" s="6"/>
      <c r="I58" s="6"/>
    </row>
    <row r="59" spans="1:9" ht="21.95" customHeight="1">
      <c r="A59" s="6"/>
      <c r="B59" s="6"/>
      <c r="C59" s="6"/>
      <c r="D59" s="6"/>
      <c r="E59" s="6"/>
      <c r="F59" s="6"/>
      <c r="G59" s="6"/>
      <c r="H59" s="6"/>
      <c r="I59" s="6"/>
    </row>
    <row r="60" spans="1:9" ht="21.95" customHeight="1">
      <c r="A60" s="6"/>
      <c r="B60" s="6"/>
      <c r="C60" s="6"/>
      <c r="D60" s="6"/>
      <c r="E60" s="6"/>
      <c r="F60" s="6"/>
      <c r="G60" s="6"/>
      <c r="H60" s="6"/>
      <c r="I60" s="6"/>
    </row>
    <row r="61" spans="1:9">
      <c r="A61" s="6"/>
      <c r="B61" s="6"/>
      <c r="C61" s="6"/>
      <c r="D61" s="6"/>
      <c r="E61" s="6"/>
      <c r="F61" s="6"/>
      <c r="G61" s="6"/>
      <c r="H61" s="6"/>
      <c r="I61" s="6"/>
    </row>
    <row r="62" spans="1:9">
      <c r="A62" s="6"/>
      <c r="B62" s="6"/>
      <c r="C62" s="6"/>
      <c r="D62" s="6"/>
      <c r="E62" s="6"/>
      <c r="F62" s="6"/>
      <c r="G62" s="6"/>
      <c r="H62" s="6"/>
      <c r="I62" s="6"/>
    </row>
    <row r="63" spans="1:9">
      <c r="A63" s="6"/>
      <c r="B63" s="6"/>
      <c r="C63" s="6"/>
      <c r="D63" s="6"/>
      <c r="E63" s="6"/>
      <c r="F63" s="6"/>
      <c r="G63" s="6"/>
      <c r="H63" s="6"/>
      <c r="I63" s="6"/>
    </row>
    <row r="64" spans="1:9">
      <c r="A64" s="6"/>
      <c r="B64" s="6"/>
      <c r="C64" s="6"/>
      <c r="D64" s="6"/>
      <c r="E64" s="6"/>
      <c r="F64" s="6"/>
      <c r="G64" s="6"/>
      <c r="H64" s="6"/>
      <c r="I64" s="6"/>
    </row>
    <row r="65" spans="1:9">
      <c r="A65" s="6"/>
      <c r="B65" s="6"/>
      <c r="C65" s="6"/>
      <c r="D65" s="6"/>
      <c r="E65" s="6"/>
      <c r="F65" s="6"/>
      <c r="G65" s="6"/>
      <c r="H65" s="6"/>
      <c r="I65" s="6"/>
    </row>
    <row r="66" spans="1:9">
      <c r="A66" s="6"/>
      <c r="B66" s="6"/>
      <c r="C66" s="6"/>
      <c r="D66" s="6"/>
      <c r="E66" s="6"/>
      <c r="F66" s="6"/>
      <c r="G66" s="6"/>
      <c r="H66" s="6"/>
      <c r="I66" s="6"/>
    </row>
    <row r="67" spans="1:9">
      <c r="A67" s="6"/>
      <c r="B67" s="6"/>
      <c r="C67" s="6"/>
      <c r="D67" s="6"/>
      <c r="E67" s="6"/>
      <c r="F67" s="6"/>
      <c r="G67" s="6"/>
      <c r="H67" s="6"/>
      <c r="I67" s="6"/>
    </row>
    <row r="68" spans="1:9">
      <c r="A68" s="6"/>
      <c r="B68" s="6"/>
      <c r="C68" s="6"/>
      <c r="D68" s="6"/>
      <c r="E68" s="6"/>
      <c r="F68" s="6"/>
      <c r="G68" s="6"/>
      <c r="H68" s="6"/>
      <c r="I68" s="6"/>
    </row>
    <row r="69" spans="1:9">
      <c r="A69" s="6"/>
      <c r="B69" s="6"/>
      <c r="C69" s="6"/>
      <c r="D69" s="6"/>
      <c r="E69" s="6"/>
      <c r="F69" s="6"/>
      <c r="G69" s="6"/>
      <c r="H69" s="6"/>
      <c r="I69" s="6"/>
    </row>
    <row r="70" spans="1:9">
      <c r="A70" s="6"/>
      <c r="B70" s="6"/>
      <c r="C70" s="6"/>
      <c r="D70" s="6"/>
      <c r="E70" s="6"/>
      <c r="F70" s="6"/>
      <c r="G70" s="6"/>
      <c r="H70" s="6"/>
      <c r="I70" s="6"/>
    </row>
    <row r="71" spans="1:9">
      <c r="A71" s="6"/>
      <c r="B71" s="6"/>
      <c r="C71" s="6"/>
      <c r="D71" s="6"/>
      <c r="E71" s="6"/>
      <c r="F71" s="6"/>
      <c r="G71" s="6"/>
      <c r="H71" s="6"/>
      <c r="I71" s="6"/>
    </row>
    <row r="72" spans="1:9">
      <c r="A72" s="6"/>
      <c r="B72" s="6"/>
      <c r="C72" s="6"/>
      <c r="D72" s="6"/>
      <c r="E72" s="6"/>
      <c r="F72" s="6"/>
      <c r="G72" s="6"/>
      <c r="H72" s="6"/>
      <c r="I72" s="6"/>
    </row>
    <row r="73" spans="1:9">
      <c r="A73" s="6"/>
      <c r="B73" s="6"/>
      <c r="C73" s="6"/>
      <c r="D73" s="6"/>
      <c r="E73" s="6"/>
      <c r="F73" s="6"/>
      <c r="G73" s="6"/>
      <c r="H73" s="6"/>
      <c r="I73" s="6"/>
    </row>
    <row r="74" spans="1:9">
      <c r="A74" s="6"/>
      <c r="B74" s="6"/>
      <c r="C74" s="6"/>
      <c r="D74" s="6"/>
      <c r="E74" s="6"/>
      <c r="F74" s="6"/>
      <c r="G74" s="6"/>
      <c r="H74" s="6"/>
      <c r="I74" s="6"/>
    </row>
    <row r="75" spans="1:9">
      <c r="A75" s="6"/>
      <c r="B75" s="6"/>
      <c r="C75" s="6"/>
      <c r="D75" s="6"/>
      <c r="E75" s="6"/>
      <c r="F75" s="6"/>
      <c r="G75" s="6"/>
      <c r="H75" s="6"/>
      <c r="I75" s="6"/>
    </row>
    <row r="76" spans="1:9">
      <c r="A76" s="6"/>
      <c r="B76" s="6"/>
      <c r="C76" s="6"/>
      <c r="D76" s="6"/>
      <c r="E76" s="6"/>
      <c r="F76" s="6"/>
      <c r="G76" s="6"/>
      <c r="H76" s="6"/>
      <c r="I76" s="6"/>
    </row>
    <row r="77" spans="1:9">
      <c r="A77" s="6"/>
      <c r="B77" s="6"/>
      <c r="C77" s="6"/>
      <c r="D77" s="6"/>
      <c r="E77" s="6"/>
      <c r="F77" s="6"/>
      <c r="G77" s="6"/>
      <c r="H77" s="6"/>
      <c r="I77" s="6"/>
    </row>
    <row r="78" spans="1:9">
      <c r="A78" s="6"/>
      <c r="B78" s="6"/>
      <c r="C78" s="6"/>
      <c r="D78" s="6"/>
      <c r="E78" s="6"/>
      <c r="F78" s="6"/>
      <c r="G78" s="6"/>
      <c r="H78" s="6"/>
      <c r="I78" s="6"/>
    </row>
    <row r="79" spans="1:9">
      <c r="A79" s="6"/>
      <c r="B79" s="6"/>
      <c r="C79" s="6"/>
      <c r="D79" s="6"/>
      <c r="E79" s="6"/>
      <c r="F79" s="6"/>
      <c r="G79" s="6"/>
      <c r="H79" s="6"/>
      <c r="I79" s="6"/>
    </row>
    <row r="80" spans="1:9">
      <c r="A80" s="6"/>
      <c r="B80" s="6"/>
      <c r="C80" s="6"/>
      <c r="D80" s="6"/>
      <c r="E80" s="6"/>
      <c r="F80" s="6"/>
      <c r="G80" s="6"/>
      <c r="H80" s="6"/>
      <c r="I80" s="6"/>
    </row>
    <row r="81" spans="1:9">
      <c r="A81" s="6"/>
      <c r="B81" s="6"/>
      <c r="C81" s="6"/>
      <c r="D81" s="6"/>
      <c r="E81" s="6"/>
      <c r="F81" s="6"/>
      <c r="G81" s="6"/>
      <c r="H81" s="6"/>
      <c r="I81" s="6"/>
    </row>
    <row r="82" spans="1:9">
      <c r="A82" s="6"/>
      <c r="B82" s="6"/>
      <c r="C82" s="6"/>
      <c r="D82" s="6"/>
      <c r="E82" s="6"/>
      <c r="F82" s="6"/>
      <c r="G82" s="6"/>
      <c r="H82" s="6"/>
      <c r="I82" s="6"/>
    </row>
    <row r="83" spans="1:9">
      <c r="A83" s="6"/>
      <c r="B83" s="6"/>
      <c r="C83" s="6"/>
      <c r="D83" s="6"/>
      <c r="E83" s="6"/>
      <c r="F83" s="6"/>
      <c r="G83" s="6"/>
      <c r="H83" s="6"/>
      <c r="I83" s="6"/>
    </row>
    <row r="84" spans="1:9">
      <c r="A84" s="6"/>
      <c r="B84" s="6"/>
      <c r="C84" s="6"/>
      <c r="D84" s="6"/>
      <c r="E84" s="6"/>
      <c r="F84" s="6"/>
      <c r="G84" s="6"/>
      <c r="H84" s="6"/>
      <c r="I84" s="6"/>
    </row>
    <row r="85" spans="1:9">
      <c r="A85" s="6"/>
      <c r="B85" s="6"/>
      <c r="C85" s="6"/>
      <c r="D85" s="6"/>
      <c r="E85" s="6"/>
      <c r="F85" s="6"/>
      <c r="G85" s="6"/>
      <c r="H85" s="6"/>
      <c r="I85" s="6"/>
    </row>
    <row r="86" spans="1:9">
      <c r="A86" s="6"/>
      <c r="B86" s="6"/>
      <c r="C86" s="6"/>
      <c r="D86" s="6"/>
      <c r="E86" s="6"/>
      <c r="F86" s="6"/>
      <c r="G86" s="6"/>
      <c r="H86" s="6"/>
      <c r="I86" s="6"/>
    </row>
    <row r="87" spans="1:9">
      <c r="A87" s="6"/>
      <c r="B87" s="6"/>
      <c r="C87" s="6"/>
      <c r="D87" s="6"/>
      <c r="E87" s="6"/>
      <c r="F87" s="6"/>
      <c r="G87" s="6"/>
      <c r="H87" s="6"/>
      <c r="I87" s="6"/>
    </row>
    <row r="88" spans="1:9">
      <c r="A88" s="6"/>
      <c r="B88" s="6"/>
      <c r="C88" s="6"/>
      <c r="D88" s="6"/>
      <c r="E88" s="6"/>
      <c r="F88" s="6"/>
      <c r="G88" s="6"/>
      <c r="H88" s="6"/>
      <c r="I88" s="6"/>
    </row>
    <row r="89" spans="1:9">
      <c r="A89" s="6"/>
      <c r="B89" s="6"/>
      <c r="C89" s="6"/>
      <c r="D89" s="6"/>
      <c r="E89" s="6"/>
      <c r="F89" s="6"/>
      <c r="G89" s="6"/>
      <c r="H89" s="6"/>
      <c r="I89" s="6"/>
    </row>
    <row r="90" spans="1:9">
      <c r="A90" s="6"/>
      <c r="B90" s="6"/>
      <c r="C90" s="6"/>
      <c r="D90" s="6"/>
      <c r="E90" s="6"/>
      <c r="F90" s="6"/>
      <c r="G90" s="6"/>
      <c r="H90" s="6"/>
      <c r="I90" s="6"/>
    </row>
    <row r="91" spans="1:9">
      <c r="A91" s="6"/>
      <c r="B91" s="6"/>
      <c r="C91" s="6"/>
      <c r="D91" s="6"/>
      <c r="E91" s="6"/>
      <c r="F91" s="6"/>
      <c r="G91" s="6"/>
      <c r="H91" s="6"/>
      <c r="I91" s="6"/>
    </row>
    <row r="92" spans="1:9">
      <c r="A92" s="6"/>
      <c r="B92" s="6"/>
      <c r="C92" s="6"/>
      <c r="D92" s="6"/>
      <c r="E92" s="6"/>
      <c r="F92" s="6"/>
      <c r="G92" s="6"/>
      <c r="H92" s="6"/>
      <c r="I92" s="6"/>
    </row>
    <row r="93" spans="1:9">
      <c r="A93" s="6"/>
      <c r="B93" s="6"/>
      <c r="C93" s="6"/>
      <c r="D93" s="6"/>
      <c r="E93" s="6"/>
      <c r="F93" s="6"/>
      <c r="G93" s="6"/>
      <c r="H93" s="6"/>
      <c r="I93" s="6"/>
    </row>
    <row r="94" spans="1:9">
      <c r="A94" s="6"/>
      <c r="B94" s="6"/>
      <c r="C94" s="6"/>
      <c r="D94" s="6"/>
      <c r="E94" s="6"/>
      <c r="F94" s="6"/>
      <c r="G94" s="6"/>
      <c r="H94" s="6"/>
      <c r="I94" s="6"/>
    </row>
    <row r="95" spans="1:9">
      <c r="A95" s="6"/>
      <c r="B95" s="6"/>
      <c r="C95" s="6"/>
      <c r="D95" s="6"/>
      <c r="E95" s="6"/>
      <c r="F95" s="6"/>
      <c r="G95" s="6"/>
      <c r="H95" s="6"/>
      <c r="I95" s="6"/>
    </row>
    <row r="96" spans="1:9">
      <c r="A96" s="6"/>
      <c r="B96" s="6"/>
      <c r="C96" s="6"/>
      <c r="D96" s="6"/>
      <c r="E96" s="6"/>
      <c r="F96" s="6"/>
      <c r="G96" s="6"/>
      <c r="H96" s="6"/>
      <c r="I96" s="6"/>
    </row>
    <row r="97" spans="1:9">
      <c r="A97" s="6"/>
      <c r="B97" s="6"/>
      <c r="C97" s="6"/>
      <c r="D97" s="6"/>
      <c r="E97" s="6"/>
      <c r="F97" s="6"/>
      <c r="G97" s="6"/>
      <c r="H97" s="6"/>
      <c r="I97" s="6"/>
    </row>
    <row r="98" spans="1:9">
      <c r="A98" s="6"/>
      <c r="B98" s="6"/>
      <c r="C98" s="6"/>
      <c r="D98" s="6"/>
      <c r="E98" s="6"/>
      <c r="F98" s="6"/>
      <c r="G98" s="6"/>
      <c r="H98" s="6"/>
      <c r="I98" s="6"/>
    </row>
    <row r="99" spans="1:9">
      <c r="A99" s="6"/>
      <c r="B99" s="6"/>
      <c r="C99" s="6"/>
      <c r="D99" s="6"/>
      <c r="E99" s="6"/>
      <c r="F99" s="6"/>
      <c r="G99" s="6"/>
      <c r="H99" s="6"/>
      <c r="I99" s="6"/>
    </row>
    <row r="100" spans="1:9">
      <c r="A100" s="6"/>
      <c r="B100" s="6"/>
      <c r="C100" s="6"/>
      <c r="D100" s="6"/>
      <c r="E100" s="6"/>
      <c r="F100" s="6"/>
      <c r="G100" s="6"/>
      <c r="H100" s="6"/>
      <c r="I100" s="6"/>
    </row>
    <row r="101" spans="1:9">
      <c r="A101" s="6"/>
      <c r="B101" s="6"/>
      <c r="C101" s="6"/>
      <c r="D101" s="6"/>
      <c r="E101" s="6"/>
      <c r="F101" s="6"/>
      <c r="G101" s="6"/>
      <c r="H101" s="6"/>
      <c r="I101" s="6"/>
    </row>
    <row r="102" spans="1:9">
      <c r="A102" s="6"/>
      <c r="B102" s="6"/>
      <c r="C102" s="6"/>
      <c r="D102" s="6"/>
      <c r="E102" s="6"/>
      <c r="F102" s="6"/>
      <c r="G102" s="6"/>
      <c r="H102" s="6"/>
      <c r="I102" s="6"/>
    </row>
    <row r="103" spans="1:9">
      <c r="A103" s="6"/>
      <c r="B103" s="6"/>
      <c r="C103" s="6"/>
      <c r="D103" s="6"/>
      <c r="E103" s="6"/>
      <c r="F103" s="6"/>
      <c r="G103" s="6"/>
      <c r="H103" s="6"/>
      <c r="I103" s="6"/>
    </row>
    <row r="104" spans="1:9">
      <c r="A104" s="6"/>
      <c r="B104" s="6"/>
      <c r="C104" s="6"/>
      <c r="D104" s="6"/>
      <c r="E104" s="6"/>
      <c r="F104" s="6"/>
      <c r="G104" s="6"/>
      <c r="H104" s="6"/>
      <c r="I104" s="6"/>
    </row>
  </sheetData>
  <mergeCells count="2">
    <mergeCell ref="A2:H2"/>
    <mergeCell ref="A1:H1"/>
  </mergeCell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errorTitle="Invalid entry" error="Select a value from the dropdown list." promptTitle="Input guidance" prompt="Choose from the dropdown list." xr:uid="{00000000-0002-0000-0600-000000000000}">
          <x14:formula1>
            <xm:f>Lists!$F$2:$F$50</xm:f>
          </x14:formula1>
          <xm:sqref>B5:B104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showGridLines="0" workbookViewId="0">
      <selection activeCell="E9" sqref="E9"/>
    </sheetView>
  </sheetViews>
  <sheetFormatPr defaultRowHeight="15"/>
  <cols>
    <col min="1" max="1" width="12" customWidth="1"/>
    <col min="2" max="2" width="16" customWidth="1"/>
    <col min="3" max="3" width="20" customWidth="1"/>
    <col min="4" max="4" width="17" customWidth="1"/>
    <col min="5" max="5" width="12" customWidth="1"/>
    <col min="6" max="6" width="21" customWidth="1"/>
    <col min="7" max="8" width="10" customWidth="1"/>
    <col min="9" max="9" width="19" customWidth="1"/>
    <col min="10" max="10" width="22" customWidth="1"/>
  </cols>
  <sheetData>
    <row r="1" spans="1:10" ht="21.95" customHeight="1">
      <c r="A1" s="2" t="s">
        <v>35</v>
      </c>
      <c r="B1" s="2" t="s">
        <v>33</v>
      </c>
      <c r="C1" s="2" t="s">
        <v>70</v>
      </c>
      <c r="D1" s="2" t="s">
        <v>124</v>
      </c>
      <c r="E1" s="2" t="s">
        <v>60</v>
      </c>
      <c r="F1" s="2" t="s">
        <v>36</v>
      </c>
      <c r="G1" s="2" t="s">
        <v>305</v>
      </c>
      <c r="H1" s="2" t="s">
        <v>304</v>
      </c>
      <c r="I1" s="2" t="s">
        <v>355</v>
      </c>
      <c r="J1" s="2" t="s">
        <v>356</v>
      </c>
    </row>
    <row r="2" spans="1:10" ht="21.95" customHeight="1">
      <c r="A2" s="4" t="s">
        <v>38</v>
      </c>
      <c r="B2" s="4" t="s">
        <v>37</v>
      </c>
      <c r="C2" s="4" t="s">
        <v>357</v>
      </c>
      <c r="D2" s="4" t="s">
        <v>141</v>
      </c>
      <c r="E2" s="4" t="s">
        <v>38</v>
      </c>
      <c r="F2" s="4" t="s">
        <v>39</v>
      </c>
      <c r="G2" s="4" t="s">
        <v>41</v>
      </c>
      <c r="H2" s="4" t="s">
        <v>41</v>
      </c>
      <c r="I2" s="4" t="s">
        <v>358</v>
      </c>
      <c r="J2" s="4" t="s">
        <v>359</v>
      </c>
    </row>
    <row r="3" spans="1:10" ht="21.95" customHeight="1">
      <c r="A3" s="4" t="s">
        <v>41</v>
      </c>
      <c r="B3" s="4" t="s">
        <v>40</v>
      </c>
      <c r="C3" s="4" t="s">
        <v>80</v>
      </c>
      <c r="D3" s="4" t="s">
        <v>137</v>
      </c>
      <c r="E3" s="4" t="s">
        <v>41</v>
      </c>
      <c r="F3" s="4" t="s">
        <v>42</v>
      </c>
      <c r="G3" s="4" t="s">
        <v>44</v>
      </c>
      <c r="H3" s="4" t="s">
        <v>44</v>
      </c>
      <c r="I3" s="4" t="s">
        <v>360</v>
      </c>
      <c r="J3" s="4" t="s">
        <v>361</v>
      </c>
    </row>
    <row r="4" spans="1:10" ht="21.95" customHeight="1">
      <c r="A4" s="4" t="s">
        <v>44</v>
      </c>
      <c r="B4" s="4" t="s">
        <v>43</v>
      </c>
      <c r="C4" s="4" t="s">
        <v>362</v>
      </c>
      <c r="D4" s="4" t="s">
        <v>134</v>
      </c>
      <c r="E4" s="4" t="s">
        <v>44</v>
      </c>
      <c r="F4" s="4" t="s">
        <v>45</v>
      </c>
      <c r="G4" s="4" t="s">
        <v>47</v>
      </c>
      <c r="H4" s="4" t="s">
        <v>47</v>
      </c>
      <c r="I4" s="4" t="s">
        <v>363</v>
      </c>
      <c r="J4" s="4" t="s">
        <v>364</v>
      </c>
    </row>
    <row r="5" spans="1:10" ht="21.95" customHeight="1">
      <c r="A5" s="4" t="s">
        <v>47</v>
      </c>
      <c r="B5" s="4" t="s">
        <v>46</v>
      </c>
      <c r="C5" s="4" t="s">
        <v>365</v>
      </c>
      <c r="D5" s="4" t="s">
        <v>193</v>
      </c>
      <c r="E5" s="4" t="s">
        <v>47</v>
      </c>
      <c r="F5" s="4" t="s">
        <v>48</v>
      </c>
      <c r="I5" s="4" t="s">
        <v>366</v>
      </c>
      <c r="J5" s="4" t="s">
        <v>367</v>
      </c>
    </row>
    <row r="6" spans="1:10" ht="21.95" customHeight="1">
      <c r="B6" s="4" t="s">
        <v>49</v>
      </c>
      <c r="C6" s="4" t="s">
        <v>368</v>
      </c>
      <c r="D6" s="4" t="s">
        <v>369</v>
      </c>
      <c r="F6" s="4" t="s">
        <v>50</v>
      </c>
      <c r="I6" s="4" t="s">
        <v>370</v>
      </c>
      <c r="J6" s="4" t="s">
        <v>371</v>
      </c>
    </row>
    <row r="7" spans="1:10" ht="21.95" customHeight="1">
      <c r="B7" s="4" t="s">
        <v>51</v>
      </c>
      <c r="C7" s="4" t="s">
        <v>82</v>
      </c>
      <c r="D7" s="4" t="s">
        <v>372</v>
      </c>
      <c r="F7" s="4" t="s">
        <v>52</v>
      </c>
      <c r="J7" s="4" t="s">
        <v>132</v>
      </c>
    </row>
    <row r="8" spans="1:10" ht="21.95" customHeight="1">
      <c r="B8" s="4" t="s">
        <v>53</v>
      </c>
      <c r="C8" s="4" t="s">
        <v>50</v>
      </c>
      <c r="D8" s="4" t="s">
        <v>362</v>
      </c>
      <c r="F8" s="4" t="s">
        <v>54</v>
      </c>
      <c r="J8" s="4" t="s">
        <v>61</v>
      </c>
    </row>
    <row r="9" spans="1:10" ht="21.95" customHeight="1">
      <c r="C9" s="4" t="s">
        <v>373</v>
      </c>
      <c r="D9" s="4" t="s">
        <v>80</v>
      </c>
      <c r="F9" s="4" t="s">
        <v>55</v>
      </c>
    </row>
    <row r="10" spans="1:10" ht="21.95" customHeight="1">
      <c r="C10" s="4" t="s">
        <v>61</v>
      </c>
      <c r="F10" s="4" t="s">
        <v>56</v>
      </c>
    </row>
    <row r="11" spans="1:10" ht="21.95" customHeight="1">
      <c r="F11" s="4" t="s">
        <v>84</v>
      </c>
    </row>
    <row r="12" spans="1:10" ht="21.95" customHeight="1">
      <c r="F12" s="4" t="s">
        <v>61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077D21B6715844985E5979EB0D6CBB" ma:contentTypeVersion="3" ma:contentTypeDescription="Create a new document." ma:contentTypeScope="" ma:versionID="7161ec9a24ba42c167513f5c8738bf09">
  <xsd:schema xmlns:xsd="http://www.w3.org/2001/XMLSchema" xmlns:xs="http://www.w3.org/2001/XMLSchema" xmlns:p="http://schemas.microsoft.com/office/2006/metadata/properties" xmlns:ns2="fa9b4828-d141-42ce-91ef-59837226a661" targetNamespace="http://schemas.microsoft.com/office/2006/metadata/properties" ma:root="true" ma:fieldsID="2939a97fb164bce58c9767444ca8a228" ns2:_="">
    <xsd:import namespace="fa9b4828-d141-42ce-91ef-59837226a66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b4828-d141-42ce-91ef-59837226a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3FC943-D9C9-403E-A5AC-0160E40B0D9C}"/>
</file>

<file path=customXml/itemProps2.xml><?xml version="1.0" encoding="utf-8"?>
<ds:datastoreItem xmlns:ds="http://schemas.openxmlformats.org/officeDocument/2006/customXml" ds:itemID="{496561D9-F5DA-4CC2-993F-0385F7CF1ED0}"/>
</file>

<file path=customXml/itemProps3.xml><?xml version="1.0" encoding="utf-8"?>
<ds:datastoreItem xmlns:ds="http://schemas.openxmlformats.org/officeDocument/2006/customXml" ds:itemID="{E175F567-0C12-4761-84E9-919DA9B90F2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 Sivakumar</dc:creator>
  <cp:keywords/>
  <dc:description/>
  <cp:lastModifiedBy>Karthik Sankepelli</cp:lastModifiedBy>
  <cp:revision/>
  <dcterms:created xsi:type="dcterms:W3CDTF">2026-08-10T22:26:02Z</dcterms:created>
  <dcterms:modified xsi:type="dcterms:W3CDTF">2026-09-03T18:44:31Z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2026-08-10T22:27:36Z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b80e9d4d-9afa-4050-9eeb-2d8794f25baa</vt:lpwstr>
  </property>
  <property fmtid="{D5CDD505-2E9C-101B-9397-08002B2CF9AE}" pid="8" name="MSIP_Label_418c1083-8924-401d-97ae-40f5eed0fcd8_ContentBits">
    <vt:lpwstr>0</vt:lpwstr>
  </property>
  <property fmtid="{D5CDD505-2E9C-101B-9397-08002B2CF9AE}" pid="9" name="MSIP_Label_418c1083-8924-401d-97ae-40f5eed0fcd8_Tag">
    <vt:lpwstr>10, 3, 0, 2</vt:lpwstr>
  </property>
  <property fmtid="{D5CDD505-2E9C-101B-9397-08002B2CF9AE}" pid="10" name="ContentTypeId">
    <vt:lpwstr>0x0101000B077D21B6715844985E5979EB0D6CBB</vt:lpwstr>
  </property>
</Properties>
</file>